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ar3lib\maps\project_kizuna(development)\Table\"/>
    </mc:Choice>
  </mc:AlternateContent>
  <xr:revisionPtr revIDLastSave="0" documentId="13_ncr:1_{FCC072DE-D482-4D34-A2DC-5ABB809D94F5}" xr6:coauthVersionLast="47" xr6:coauthVersionMax="47" xr10:uidLastSave="{00000000-0000-0000-0000-000000000000}"/>
  <bookViews>
    <workbookView xWindow="-38415" yWindow="-15" windowWidth="19200" windowHeight="21030" tabRatio="713" activeTab="1" xr2:uid="{00000000-000D-0000-FFFF-FFFF00000000}"/>
  </bookViews>
  <sheets>
    <sheet name="Config" sheetId="10" r:id="rId1"/>
    <sheet name="Enum" sheetId="12" r:id="rId2"/>
    <sheet name="EnumLookup" sheetId="11" r:id="rId3"/>
    <sheet name="UnitParams" sheetId="5" r:id="rId4"/>
    <sheet name="BuffParams" sheetId="1" r:id="rId5"/>
    <sheet name="AbilityParams" sheetId="7" r:id="rId6"/>
    <sheet name="AbilityMix" sheetId="8" r:id="rId7"/>
    <sheet name="AbilityTable" sheetId="9" r:id="rId8"/>
    <sheet name="AbilityTooltips" sheetId="2" r:id="rId9"/>
  </sheets>
  <definedNames>
    <definedName name="_xlnm._FilterDatabase" localSheetId="5" hidden="1">AbilityParams!$A$1:$E$1</definedName>
    <definedName name="_xlnm._FilterDatabase" localSheetId="4" hidden="1">BuffParams!$A$1:$D$1</definedName>
    <definedName name="_xlnm._FilterDatabase" localSheetId="3" hidden="1">UnitParams!$A$1:$C$1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5" i="9" l="1" a="1"/>
  <c r="B75" i="9" s="1"/>
  <c r="B74" i="9" a="1"/>
  <c r="B74" i="9" s="1"/>
  <c r="B73" i="9" a="1"/>
  <c r="B73" i="9" s="1"/>
  <c r="B72" i="9" a="1"/>
  <c r="B72" i="9" s="1"/>
  <c r="B71" i="9" a="1"/>
  <c r="B71" i="9" s="1"/>
  <c r="B70" i="9" a="1"/>
  <c r="B70" i="9" s="1"/>
  <c r="B69" i="9" a="1"/>
  <c r="B69" i="9" s="1"/>
  <c r="B68" i="9" a="1"/>
  <c r="B68" i="9" s="1"/>
  <c r="B67" i="9" a="1"/>
  <c r="B67" i="9" s="1"/>
  <c r="B66" i="9" a="1"/>
  <c r="B66" i="9" s="1"/>
  <c r="B65" i="9" a="1"/>
  <c r="B65" i="9" s="1"/>
  <c r="B64" i="9" a="1"/>
  <c r="B64" i="9" s="1"/>
  <c r="B63" i="9" a="1"/>
  <c r="B63" i="9" s="1"/>
  <c r="B62" i="9" a="1"/>
  <c r="B62" i="9" s="1"/>
  <c r="B61" i="9" a="1"/>
  <c r="B61" i="9" s="1"/>
  <c r="B60" i="9" a="1"/>
  <c r="B60" i="9" s="1"/>
  <c r="B59" i="9" a="1"/>
  <c r="B59" i="9" s="1"/>
  <c r="B58" i="9" a="1"/>
  <c r="B58" i="9" s="1"/>
  <c r="B57" i="9" a="1"/>
  <c r="B57" i="9" s="1"/>
  <c r="B56" i="9" a="1"/>
  <c r="B56" i="9" s="1"/>
  <c r="B55" i="9" a="1"/>
  <c r="B55" i="9" s="1"/>
  <c r="B54" i="9" a="1"/>
  <c r="B54" i="9" s="1"/>
  <c r="B53" i="9" a="1"/>
  <c r="B53" i="9" s="1"/>
  <c r="B52" i="9" a="1"/>
  <c r="B52" i="9" s="1"/>
  <c r="B51" i="9" a="1"/>
  <c r="B51" i="9" s="1"/>
  <c r="B50" i="9" a="1"/>
  <c r="B50" i="9" s="1"/>
  <c r="B49" i="9" a="1"/>
  <c r="B49" i="9" s="1"/>
  <c r="B48" i="9" a="1"/>
  <c r="B48" i="9" s="1"/>
  <c r="B47" i="9" a="1"/>
  <c r="B47" i="9" s="1"/>
  <c r="B46" i="9" a="1"/>
  <c r="B46" i="9" s="1"/>
  <c r="B45" i="9" a="1"/>
  <c r="B45" i="9" s="1"/>
  <c r="B44" i="9" a="1"/>
  <c r="B44" i="9" s="1"/>
  <c r="B43" i="9" a="1"/>
  <c r="B43" i="9" s="1"/>
  <c r="B42" i="9" a="1"/>
  <c r="B42" i="9" s="1"/>
  <c r="B41" i="9" a="1"/>
  <c r="B41" i="9" s="1"/>
  <c r="B36" i="9" a="1"/>
  <c r="B36" i="9" s="1"/>
  <c r="B37" i="9" a="1"/>
  <c r="B37" i="9" s="1"/>
  <c r="B38" i="9" a="1"/>
  <c r="B38" i="9" s="1"/>
  <c r="B39" i="9" a="1"/>
  <c r="B39" i="9" s="1"/>
  <c r="B40" i="9" a="1"/>
  <c r="B40" i="9" s="1"/>
  <c r="F11" i="8"/>
  <c r="F7" i="8"/>
  <c r="C7" i="8"/>
  <c r="A7" i="8" a="1"/>
  <c r="A7" i="8" s="1"/>
  <c r="D7" i="8" a="1"/>
  <c r="D7" i="8" s="1"/>
  <c r="G7" i="8" a="1"/>
  <c r="G7" i="8" s="1"/>
  <c r="B35" i="9" a="1"/>
  <c r="B35" i="9" s="1"/>
  <c r="AM23" i="5" a="1"/>
  <c r="AM23" i="5" s="1"/>
  <c r="AL23" i="5" a="1"/>
  <c r="AL23" i="5" s="1"/>
  <c r="AK23" i="5" a="1"/>
  <c r="AK23" i="5" s="1"/>
  <c r="AJ23" i="5" a="1"/>
  <c r="AJ23" i="5" s="1"/>
  <c r="AI23" i="5" a="1"/>
  <c r="AI23" i="5" s="1"/>
  <c r="AH23" i="5" a="1"/>
  <c r="AH23" i="5" s="1"/>
  <c r="AG23" i="5" a="1"/>
  <c r="AG23" i="5" s="1"/>
  <c r="AF23" i="5" a="1"/>
  <c r="AF23" i="5" s="1"/>
  <c r="AE23" i="5" a="1"/>
  <c r="AE23" i="5" s="1"/>
  <c r="AD23" i="5" a="1"/>
  <c r="AD23" i="5" s="1"/>
  <c r="AC23" i="5" a="1"/>
  <c r="AC23" i="5" s="1"/>
  <c r="AB23" i="5" a="1"/>
  <c r="AB23" i="5" s="1"/>
  <c r="AA23" i="5" a="1"/>
  <c r="AA23" i="5" s="1"/>
  <c r="Z23" i="5" a="1"/>
  <c r="Z23" i="5" s="1"/>
  <c r="Y23" i="5" a="1"/>
  <c r="Y23" i="5" s="1"/>
  <c r="X23" i="5" a="1"/>
  <c r="X23" i="5" s="1"/>
  <c r="W23" i="5" a="1"/>
  <c r="W23" i="5" s="1"/>
  <c r="V23" i="5" a="1"/>
  <c r="V23" i="5" s="1"/>
  <c r="U23" i="5" a="1"/>
  <c r="U23" i="5" s="1"/>
  <c r="T23" i="5" a="1"/>
  <c r="T23" i="5" s="1"/>
  <c r="R23" i="5" a="1"/>
  <c r="R23" i="5" s="1"/>
  <c r="Q23" i="5" a="1"/>
  <c r="Q23" i="5" s="1"/>
  <c r="P23" i="5" a="1"/>
  <c r="P23" i="5" s="1"/>
  <c r="O23" i="5" a="1"/>
  <c r="O23" i="5" s="1"/>
  <c r="N23" i="5" a="1"/>
  <c r="N23" i="5" s="1"/>
  <c r="M23" i="5" a="1"/>
  <c r="M23" i="5" s="1"/>
  <c r="L23" i="5" a="1"/>
  <c r="L23" i="5" s="1"/>
  <c r="K23" i="5" a="1"/>
  <c r="K23" i="5" s="1"/>
  <c r="J23" i="5" a="1"/>
  <c r="J23" i="5" s="1"/>
  <c r="I23" i="5" a="1"/>
  <c r="I23" i="5" s="1"/>
  <c r="H23" i="5" a="1"/>
  <c r="H23" i="5" s="1"/>
  <c r="G23" i="5" a="1"/>
  <c r="G23" i="5" s="1"/>
  <c r="F23" i="5" a="1"/>
  <c r="F23" i="5" s="1"/>
  <c r="E23" i="5" a="1"/>
  <c r="E23" i="5" s="1"/>
  <c r="D23" i="5" a="1"/>
  <c r="D23" i="5" s="1"/>
  <c r="C23" i="5" a="1"/>
  <c r="C23" i="5" s="1"/>
  <c r="AM21" i="5" a="1"/>
  <c r="AM21" i="5" s="1"/>
  <c r="AL21" i="5" a="1"/>
  <c r="AL21" i="5" s="1"/>
  <c r="AK21" i="5" a="1"/>
  <c r="AK21" i="5" s="1"/>
  <c r="AJ21" i="5" a="1"/>
  <c r="AJ21" i="5" s="1"/>
  <c r="AI21" i="5" a="1"/>
  <c r="AI21" i="5" s="1"/>
  <c r="AH21" i="5" a="1"/>
  <c r="AH21" i="5" s="1"/>
  <c r="AG21" i="5" a="1"/>
  <c r="AG21" i="5" s="1"/>
  <c r="AF21" i="5" a="1"/>
  <c r="AF21" i="5" s="1"/>
  <c r="AE21" i="5" a="1"/>
  <c r="AE21" i="5" s="1"/>
  <c r="AD21" i="5" a="1"/>
  <c r="AD21" i="5" s="1"/>
  <c r="AC21" i="5" a="1"/>
  <c r="AC21" i="5" s="1"/>
  <c r="AB21" i="5" a="1"/>
  <c r="AB21" i="5" s="1"/>
  <c r="AA21" i="5" a="1"/>
  <c r="AA21" i="5" s="1"/>
  <c r="Z21" i="5" a="1"/>
  <c r="Z21" i="5" s="1"/>
  <c r="Y21" i="5" a="1"/>
  <c r="Y21" i="5" s="1"/>
  <c r="X21" i="5" a="1"/>
  <c r="X21" i="5" s="1"/>
  <c r="W21" i="5" a="1"/>
  <c r="W21" i="5" s="1"/>
  <c r="V21" i="5" a="1"/>
  <c r="V21" i="5" s="1"/>
  <c r="U21" i="5" a="1"/>
  <c r="U21" i="5" s="1"/>
  <c r="T21" i="5" a="1"/>
  <c r="T21" i="5" s="1"/>
  <c r="R21" i="5" a="1"/>
  <c r="R21" i="5" s="1"/>
  <c r="Q21" i="5" a="1"/>
  <c r="Q21" i="5" s="1"/>
  <c r="P21" i="5" a="1"/>
  <c r="P21" i="5" s="1"/>
  <c r="O21" i="5" a="1"/>
  <c r="O21" i="5" s="1"/>
  <c r="N21" i="5" a="1"/>
  <c r="N21" i="5" s="1"/>
  <c r="M21" i="5" a="1"/>
  <c r="M21" i="5" s="1"/>
  <c r="L21" i="5" a="1"/>
  <c r="L21" i="5" s="1"/>
  <c r="K21" i="5" a="1"/>
  <c r="K21" i="5" s="1"/>
  <c r="J21" i="5" a="1"/>
  <c r="J21" i="5" s="1"/>
  <c r="I21" i="5" a="1"/>
  <c r="I21" i="5" s="1"/>
  <c r="H21" i="5" a="1"/>
  <c r="H21" i="5" s="1"/>
  <c r="G21" i="5" a="1"/>
  <c r="G21" i="5" s="1"/>
  <c r="F21" i="5" a="1"/>
  <c r="F21" i="5" s="1"/>
  <c r="E21" i="5" a="1"/>
  <c r="E21" i="5" s="1"/>
  <c r="D21" i="5" a="1"/>
  <c r="D21" i="5" s="1"/>
  <c r="C21" i="5" a="1"/>
  <c r="C21" i="5" s="1"/>
  <c r="AM19" i="5" a="1"/>
  <c r="AM19" i="5" s="1"/>
  <c r="AL19" i="5" a="1"/>
  <c r="AL19" i="5" s="1"/>
  <c r="AK19" i="5" a="1"/>
  <c r="AK19" i="5" s="1"/>
  <c r="AJ19" i="5" a="1"/>
  <c r="AJ19" i="5" s="1"/>
  <c r="AI19" i="5" a="1"/>
  <c r="AI19" i="5" s="1"/>
  <c r="AH19" i="5" a="1"/>
  <c r="AH19" i="5" s="1"/>
  <c r="AG19" i="5" a="1"/>
  <c r="AG19" i="5" s="1"/>
  <c r="AF19" i="5" a="1"/>
  <c r="AF19" i="5" s="1"/>
  <c r="AE19" i="5" a="1"/>
  <c r="AE19" i="5" s="1"/>
  <c r="AD19" i="5" a="1"/>
  <c r="AD19" i="5" s="1"/>
  <c r="AC19" i="5" a="1"/>
  <c r="AC19" i="5" s="1"/>
  <c r="AB19" i="5" a="1"/>
  <c r="AB19" i="5" s="1"/>
  <c r="AA19" i="5" a="1"/>
  <c r="AA19" i="5" s="1"/>
  <c r="Z19" i="5" a="1"/>
  <c r="Z19" i="5" s="1"/>
  <c r="Y19" i="5" a="1"/>
  <c r="Y19" i="5" s="1"/>
  <c r="X19" i="5" a="1"/>
  <c r="X19" i="5" s="1"/>
  <c r="W19" i="5" a="1"/>
  <c r="W19" i="5" s="1"/>
  <c r="V19" i="5" a="1"/>
  <c r="V19" i="5" s="1"/>
  <c r="U19" i="5" a="1"/>
  <c r="U19" i="5" s="1"/>
  <c r="T19" i="5" a="1"/>
  <c r="T19" i="5" s="1"/>
  <c r="R19" i="5" a="1"/>
  <c r="R19" i="5" s="1"/>
  <c r="Q19" i="5" a="1"/>
  <c r="Q19" i="5" s="1"/>
  <c r="P19" i="5" a="1"/>
  <c r="P19" i="5" s="1"/>
  <c r="O19" i="5" a="1"/>
  <c r="O19" i="5" s="1"/>
  <c r="N19" i="5" a="1"/>
  <c r="N19" i="5" s="1"/>
  <c r="M19" i="5" a="1"/>
  <c r="M19" i="5" s="1"/>
  <c r="L19" i="5" a="1"/>
  <c r="L19" i="5" s="1"/>
  <c r="K19" i="5" a="1"/>
  <c r="K19" i="5" s="1"/>
  <c r="J19" i="5" a="1"/>
  <c r="J19" i="5" s="1"/>
  <c r="I19" i="5" a="1"/>
  <c r="I19" i="5" s="1"/>
  <c r="H19" i="5" a="1"/>
  <c r="H19" i="5" s="1"/>
  <c r="G19" i="5" a="1"/>
  <c r="G19" i="5" s="1"/>
  <c r="F19" i="5" a="1"/>
  <c r="F19" i="5" s="1"/>
  <c r="E19" i="5" a="1"/>
  <c r="E19" i="5" s="1"/>
  <c r="D19" i="5" a="1"/>
  <c r="D19" i="5" s="1"/>
  <c r="AM17" i="5" a="1"/>
  <c r="AM17" i="5" s="1"/>
  <c r="AL17" i="5" a="1"/>
  <c r="AL17" i="5" s="1"/>
  <c r="AK17" i="5" a="1"/>
  <c r="AK17" i="5" s="1"/>
  <c r="AJ17" i="5" a="1"/>
  <c r="AJ17" i="5" s="1"/>
  <c r="AI17" i="5" a="1"/>
  <c r="AI17" i="5" s="1"/>
  <c r="AH17" i="5" a="1"/>
  <c r="AH17" i="5" s="1"/>
  <c r="AG17" i="5" a="1"/>
  <c r="AG17" i="5" s="1"/>
  <c r="AF17" i="5" a="1"/>
  <c r="AF17" i="5" s="1"/>
  <c r="AE17" i="5" a="1"/>
  <c r="AE17" i="5" s="1"/>
  <c r="AD17" i="5" a="1"/>
  <c r="AD17" i="5" s="1"/>
  <c r="AC17" i="5" a="1"/>
  <c r="AC17" i="5" s="1"/>
  <c r="AB17" i="5" a="1"/>
  <c r="AB17" i="5" s="1"/>
  <c r="AA17" i="5" a="1"/>
  <c r="AA17" i="5" s="1"/>
  <c r="Z17" i="5" a="1"/>
  <c r="Z17" i="5" s="1"/>
  <c r="Y17" i="5" a="1"/>
  <c r="Y17" i="5" s="1"/>
  <c r="X17" i="5" a="1"/>
  <c r="X17" i="5" s="1"/>
  <c r="W17" i="5" a="1"/>
  <c r="W17" i="5" s="1"/>
  <c r="V17" i="5" a="1"/>
  <c r="V17" i="5" s="1"/>
  <c r="U17" i="5" a="1"/>
  <c r="U17" i="5" s="1"/>
  <c r="T17" i="5" a="1"/>
  <c r="T17" i="5" s="1"/>
  <c r="R17" i="5" a="1"/>
  <c r="R17" i="5" s="1"/>
  <c r="Q17" i="5" a="1"/>
  <c r="Q17" i="5" s="1"/>
  <c r="P17" i="5" a="1"/>
  <c r="P17" i="5" s="1"/>
  <c r="O17" i="5" a="1"/>
  <c r="O17" i="5" s="1"/>
  <c r="N17" i="5" a="1"/>
  <c r="N17" i="5" s="1"/>
  <c r="M17" i="5" a="1"/>
  <c r="M17" i="5" s="1"/>
  <c r="L17" i="5" a="1"/>
  <c r="L17" i="5" s="1"/>
  <c r="K17" i="5" a="1"/>
  <c r="K17" i="5" s="1"/>
  <c r="J17" i="5" a="1"/>
  <c r="J17" i="5" s="1"/>
  <c r="I17" i="5" a="1"/>
  <c r="I17" i="5" s="1"/>
  <c r="H17" i="5" a="1"/>
  <c r="H17" i="5" s="1"/>
  <c r="G17" i="5" a="1"/>
  <c r="G17" i="5" s="1"/>
  <c r="F17" i="5" a="1"/>
  <c r="F17" i="5" s="1"/>
  <c r="E17" i="5" a="1"/>
  <c r="E17" i="5" s="1"/>
  <c r="D17" i="5" a="1"/>
  <c r="D17" i="5" s="1"/>
  <c r="C17" i="5" a="1"/>
  <c r="C17" i="5" s="1"/>
  <c r="AM15" i="5" a="1"/>
  <c r="AM15" i="5" s="1"/>
  <c r="AL15" i="5" a="1"/>
  <c r="AL15" i="5" s="1"/>
  <c r="AK15" i="5" a="1"/>
  <c r="AK15" i="5" s="1"/>
  <c r="AJ15" i="5" a="1"/>
  <c r="AJ15" i="5" s="1"/>
  <c r="AI15" i="5" a="1"/>
  <c r="AI15" i="5" s="1"/>
  <c r="AH15" i="5" a="1"/>
  <c r="AH15" i="5" s="1"/>
  <c r="AG15" i="5" a="1"/>
  <c r="AG15" i="5" s="1"/>
  <c r="AF15" i="5" a="1"/>
  <c r="AF15" i="5" s="1"/>
  <c r="AE15" i="5" a="1"/>
  <c r="AE15" i="5" s="1"/>
  <c r="AD15" i="5" a="1"/>
  <c r="AD15" i="5" s="1"/>
  <c r="AC15" i="5" a="1"/>
  <c r="AC15" i="5" s="1"/>
  <c r="AB15" i="5" a="1"/>
  <c r="AB15" i="5" s="1"/>
  <c r="AA15" i="5" a="1"/>
  <c r="AA15" i="5" s="1"/>
  <c r="Z15" i="5" a="1"/>
  <c r="Z15" i="5" s="1"/>
  <c r="Y15" i="5" a="1"/>
  <c r="Y15" i="5" s="1"/>
  <c r="X15" i="5" a="1"/>
  <c r="X15" i="5" s="1"/>
  <c r="W15" i="5" a="1"/>
  <c r="W15" i="5" s="1"/>
  <c r="V15" i="5" a="1"/>
  <c r="V15" i="5" s="1"/>
  <c r="U15" i="5" a="1"/>
  <c r="U15" i="5" s="1"/>
  <c r="T15" i="5" a="1"/>
  <c r="T15" i="5" s="1"/>
  <c r="R15" i="5" a="1"/>
  <c r="R15" i="5" s="1"/>
  <c r="Q15" i="5" a="1"/>
  <c r="Q15" i="5" s="1"/>
  <c r="P15" i="5" a="1"/>
  <c r="P15" i="5" s="1"/>
  <c r="O15" i="5" a="1"/>
  <c r="O15" i="5" s="1"/>
  <c r="N15" i="5" a="1"/>
  <c r="N15" i="5" s="1"/>
  <c r="M15" i="5" a="1"/>
  <c r="M15" i="5" s="1"/>
  <c r="L15" i="5" a="1"/>
  <c r="L15" i="5" s="1"/>
  <c r="K15" i="5" a="1"/>
  <c r="K15" i="5" s="1"/>
  <c r="J15" i="5" a="1"/>
  <c r="J15" i="5" s="1"/>
  <c r="I15" i="5" a="1"/>
  <c r="I15" i="5" s="1"/>
  <c r="H15" i="5" a="1"/>
  <c r="H15" i="5" s="1"/>
  <c r="G15" i="5" a="1"/>
  <c r="G15" i="5" s="1"/>
  <c r="F15" i="5" a="1"/>
  <c r="F15" i="5" s="1"/>
  <c r="E15" i="5" a="1"/>
  <c r="E15" i="5" s="1"/>
  <c r="D15" i="5" a="1"/>
  <c r="D15" i="5" s="1"/>
  <c r="C15" i="5" a="1"/>
  <c r="C15" i="5" s="1"/>
  <c r="AM13" i="5" a="1"/>
  <c r="AM13" i="5" s="1"/>
  <c r="AL13" i="5" a="1"/>
  <c r="AL13" i="5" s="1"/>
  <c r="AK13" i="5" a="1"/>
  <c r="AK13" i="5" s="1"/>
  <c r="AJ13" i="5" a="1"/>
  <c r="AJ13" i="5" s="1"/>
  <c r="AI13" i="5" a="1"/>
  <c r="AI13" i="5" s="1"/>
  <c r="AH13" i="5" a="1"/>
  <c r="AH13" i="5" s="1"/>
  <c r="AG13" i="5" a="1"/>
  <c r="AG13" i="5" s="1"/>
  <c r="AF13" i="5" a="1"/>
  <c r="AF13" i="5" s="1"/>
  <c r="AE13" i="5" a="1"/>
  <c r="AE13" i="5" s="1"/>
  <c r="AD13" i="5" a="1"/>
  <c r="AD13" i="5" s="1"/>
  <c r="AC13" i="5" a="1"/>
  <c r="AC13" i="5" s="1"/>
  <c r="AB13" i="5" a="1"/>
  <c r="AB13" i="5" s="1"/>
  <c r="AA13" i="5" a="1"/>
  <c r="AA13" i="5" s="1"/>
  <c r="Z13" i="5" a="1"/>
  <c r="Z13" i="5" s="1"/>
  <c r="Y13" i="5" a="1"/>
  <c r="Y13" i="5" s="1"/>
  <c r="X13" i="5" a="1"/>
  <c r="X13" i="5" s="1"/>
  <c r="W13" i="5" a="1"/>
  <c r="W13" i="5" s="1"/>
  <c r="V13" i="5" a="1"/>
  <c r="V13" i="5" s="1"/>
  <c r="U13" i="5" a="1"/>
  <c r="U13" i="5" s="1"/>
  <c r="T13" i="5" a="1"/>
  <c r="T13" i="5" s="1"/>
  <c r="R13" i="5" a="1"/>
  <c r="R13" i="5" s="1"/>
  <c r="Q13" i="5" a="1"/>
  <c r="Q13" i="5" s="1"/>
  <c r="P13" i="5" a="1"/>
  <c r="P13" i="5" s="1"/>
  <c r="O13" i="5" a="1"/>
  <c r="O13" i="5" s="1"/>
  <c r="N13" i="5" a="1"/>
  <c r="N13" i="5" s="1"/>
  <c r="M13" i="5" a="1"/>
  <c r="M13" i="5" s="1"/>
  <c r="L13" i="5" a="1"/>
  <c r="L13" i="5" s="1"/>
  <c r="K13" i="5" a="1"/>
  <c r="K13" i="5" s="1"/>
  <c r="J13" i="5" a="1"/>
  <c r="J13" i="5" s="1"/>
  <c r="I13" i="5" a="1"/>
  <c r="I13" i="5" s="1"/>
  <c r="H13" i="5" a="1"/>
  <c r="H13" i="5" s="1"/>
  <c r="G13" i="5" a="1"/>
  <c r="G13" i="5" s="1"/>
  <c r="F13" i="5" a="1"/>
  <c r="F13" i="5" s="1"/>
  <c r="E13" i="5" a="1"/>
  <c r="E13" i="5" s="1"/>
  <c r="D13" i="5" a="1"/>
  <c r="D13" i="5" s="1"/>
  <c r="D12" i="5" s="1" a="1"/>
  <c r="D12" i="5" s="1"/>
  <c r="D11" i="5" s="1" a="1"/>
  <c r="D11" i="5" s="1"/>
  <c r="C13" i="5" a="1"/>
  <c r="C13" i="5" s="1"/>
  <c r="AM11" i="5" a="1"/>
  <c r="AM11" i="5" s="1"/>
  <c r="AL11" i="5" a="1"/>
  <c r="AL11" i="5" s="1"/>
  <c r="AK11" i="5" a="1"/>
  <c r="AK11" i="5" s="1"/>
  <c r="AJ11" i="5" a="1"/>
  <c r="AJ11" i="5" s="1"/>
  <c r="AI11" i="5" a="1"/>
  <c r="AI11" i="5" s="1"/>
  <c r="AH11" i="5" a="1"/>
  <c r="AH11" i="5" s="1"/>
  <c r="AG11" i="5" a="1"/>
  <c r="AG11" i="5" s="1"/>
  <c r="AF11" i="5" a="1"/>
  <c r="AF11" i="5" s="1"/>
  <c r="AE11" i="5" a="1"/>
  <c r="AE11" i="5" s="1"/>
  <c r="AD11" i="5" a="1"/>
  <c r="AD11" i="5" s="1"/>
  <c r="AC11" i="5" a="1"/>
  <c r="AC11" i="5" s="1"/>
  <c r="AB11" i="5" a="1"/>
  <c r="AB11" i="5" s="1"/>
  <c r="AA11" i="5" a="1"/>
  <c r="AA11" i="5" s="1"/>
  <c r="Z11" i="5" a="1"/>
  <c r="Z11" i="5" s="1"/>
  <c r="Y11" i="5" a="1"/>
  <c r="Y11" i="5" s="1"/>
  <c r="X11" i="5" a="1"/>
  <c r="X11" i="5" s="1"/>
  <c r="W11" i="5" a="1"/>
  <c r="W11" i="5" s="1"/>
  <c r="V11" i="5" a="1"/>
  <c r="V11" i="5" s="1"/>
  <c r="U11" i="5" a="1"/>
  <c r="U11" i="5" s="1"/>
  <c r="T11" i="5" a="1"/>
  <c r="T11" i="5" s="1"/>
  <c r="R11" i="5" a="1"/>
  <c r="R11" i="5" s="1"/>
  <c r="Q11" i="5" a="1"/>
  <c r="Q11" i="5" s="1"/>
  <c r="P11" i="5" a="1"/>
  <c r="P11" i="5" s="1"/>
  <c r="O11" i="5" a="1"/>
  <c r="O11" i="5" s="1"/>
  <c r="N11" i="5" a="1"/>
  <c r="N11" i="5" s="1"/>
  <c r="M11" i="5" a="1"/>
  <c r="M11" i="5" s="1"/>
  <c r="L11" i="5" a="1"/>
  <c r="L11" i="5" s="1"/>
  <c r="K11" i="5" a="1"/>
  <c r="K11" i="5" s="1"/>
  <c r="J11" i="5" a="1"/>
  <c r="J11" i="5" s="1"/>
  <c r="I11" i="5" a="1"/>
  <c r="I11" i="5" s="1"/>
  <c r="H11" i="5" a="1"/>
  <c r="H11" i="5" s="1"/>
  <c r="G11" i="5" a="1"/>
  <c r="G11" i="5" s="1"/>
  <c r="F11" i="5" a="1"/>
  <c r="F11" i="5" s="1"/>
  <c r="E11" i="5" a="1"/>
  <c r="E11" i="5" s="1"/>
  <c r="C11" i="5" a="1"/>
  <c r="C11" i="5" s="1"/>
  <c r="AM9" i="5" a="1"/>
  <c r="AM9" i="5" s="1"/>
  <c r="AL9" i="5" a="1"/>
  <c r="AL9" i="5" s="1"/>
  <c r="AK9" i="5" a="1"/>
  <c r="AK9" i="5" s="1"/>
  <c r="AJ9" i="5" a="1"/>
  <c r="AJ9" i="5" s="1"/>
  <c r="AI9" i="5" a="1"/>
  <c r="AI9" i="5" s="1"/>
  <c r="AH9" i="5" a="1"/>
  <c r="AH9" i="5" s="1"/>
  <c r="AG9" i="5" a="1"/>
  <c r="AG9" i="5" s="1"/>
  <c r="AF9" i="5" a="1"/>
  <c r="AF9" i="5" s="1"/>
  <c r="AE9" i="5" a="1"/>
  <c r="AE9" i="5" s="1"/>
  <c r="AD9" i="5" a="1"/>
  <c r="AD9" i="5" s="1"/>
  <c r="AC9" i="5" a="1"/>
  <c r="AC9" i="5" s="1"/>
  <c r="AB9" i="5" a="1"/>
  <c r="AB9" i="5" s="1"/>
  <c r="AA9" i="5" a="1"/>
  <c r="AA9" i="5" s="1"/>
  <c r="Z9" i="5" a="1"/>
  <c r="Z9" i="5" s="1"/>
  <c r="Y9" i="5" a="1"/>
  <c r="Y9" i="5" s="1"/>
  <c r="X9" i="5" a="1"/>
  <c r="X9" i="5" s="1"/>
  <c r="W9" i="5" a="1"/>
  <c r="W9" i="5" s="1"/>
  <c r="V9" i="5" a="1"/>
  <c r="V9" i="5" s="1"/>
  <c r="U9" i="5" a="1"/>
  <c r="U9" i="5" s="1"/>
  <c r="T9" i="5" a="1"/>
  <c r="T9" i="5" s="1"/>
  <c r="R9" i="5" a="1"/>
  <c r="R9" i="5" s="1"/>
  <c r="Q9" i="5" a="1"/>
  <c r="Q9" i="5" s="1"/>
  <c r="P9" i="5" a="1"/>
  <c r="P9" i="5" s="1"/>
  <c r="O9" i="5" a="1"/>
  <c r="O9" i="5" s="1"/>
  <c r="N9" i="5" a="1"/>
  <c r="N9" i="5" s="1"/>
  <c r="M9" i="5" a="1"/>
  <c r="M9" i="5" s="1"/>
  <c r="L9" i="5" a="1"/>
  <c r="L9" i="5" s="1"/>
  <c r="K9" i="5" a="1"/>
  <c r="K9" i="5" s="1"/>
  <c r="J9" i="5" a="1"/>
  <c r="J9" i="5" s="1"/>
  <c r="I9" i="5" a="1"/>
  <c r="I9" i="5" s="1"/>
  <c r="H9" i="5" a="1"/>
  <c r="H9" i="5" s="1"/>
  <c r="G9" i="5" a="1"/>
  <c r="G9" i="5" s="1"/>
  <c r="F9" i="5" a="1"/>
  <c r="F9" i="5" s="1"/>
  <c r="E9" i="5" a="1"/>
  <c r="E9" i="5" s="1"/>
  <c r="D9" i="5" a="1"/>
  <c r="D9" i="5" s="1"/>
  <c r="C9" i="5" a="1"/>
  <c r="C9" i="5" s="1"/>
  <c r="A39" i="2" a="1"/>
  <c r="A39" i="2" s="1"/>
  <c r="B34" i="9" a="1"/>
  <c r="B34" i="9" s="1"/>
  <c r="A38" i="2" a="1"/>
  <c r="A38" i="2" s="1"/>
  <c r="A75" i="2" a="1"/>
  <c r="A75" i="2" s="1"/>
  <c r="G11" i="8" a="1"/>
  <c r="G11" i="8" s="1"/>
  <c r="D11" i="8" a="1"/>
  <c r="D11" i="8" s="1"/>
  <c r="A11" i="8" a="1"/>
  <c r="A11" i="8" s="1"/>
  <c r="A1" i="2" a="1"/>
  <c r="A1" i="2" s="1"/>
  <c r="B33" i="9" a="1"/>
  <c r="B33" i="9" s="1"/>
  <c r="B32" i="9" a="1"/>
  <c r="B32" i="9" s="1"/>
  <c r="G3" i="8" a="1"/>
  <c r="G3" i="8" s="1"/>
  <c r="G4" i="8" a="1"/>
  <c r="G4" i="8" s="1"/>
  <c r="G5" i="8" a="1"/>
  <c r="G5" i="8" s="1"/>
  <c r="G6" i="8" a="1"/>
  <c r="G6" i="8" s="1"/>
  <c r="G8" i="8" a="1"/>
  <c r="G8" i="8" s="1"/>
  <c r="G9" i="8" a="1"/>
  <c r="G9" i="8" s="1"/>
  <c r="G10" i="8" a="1"/>
  <c r="G10" i="8" s="1"/>
  <c r="G12" i="8" a="1"/>
  <c r="G12" i="8" s="1"/>
  <c r="G2" i="8" a="1"/>
  <c r="G2" i="8" s="1"/>
  <c r="D3" i="8" a="1"/>
  <c r="D3" i="8" s="1"/>
  <c r="D4" i="8" a="1"/>
  <c r="D4" i="8" s="1"/>
  <c r="D5" i="8" a="1"/>
  <c r="D5" i="8" s="1"/>
  <c r="D6" i="8" a="1"/>
  <c r="D6" i="8" s="1"/>
  <c r="D8" i="8" a="1"/>
  <c r="D8" i="8" s="1"/>
  <c r="D9" i="8" a="1"/>
  <c r="D9" i="8" s="1"/>
  <c r="D10" i="8" a="1"/>
  <c r="D10" i="8" s="1"/>
  <c r="D12" i="8" a="1"/>
  <c r="D12" i="8" s="1"/>
  <c r="D2" i="8" a="1"/>
  <c r="D2" i="8" s="1"/>
  <c r="A3" i="8" a="1"/>
  <c r="A3" i="8" s="1"/>
  <c r="A4" i="8" a="1"/>
  <c r="A4" i="8" s="1"/>
  <c r="A5" i="8" a="1"/>
  <c r="A5" i="8" s="1"/>
  <c r="A6" i="8" a="1"/>
  <c r="A6" i="8" s="1"/>
  <c r="A8" i="8" a="1"/>
  <c r="A8" i="8" s="1"/>
  <c r="A9" i="8" a="1"/>
  <c r="A9" i="8" s="1"/>
  <c r="A10" i="8" a="1"/>
  <c r="A10" i="8" s="1"/>
  <c r="A12" i="8" a="1"/>
  <c r="A12" i="8" s="1"/>
  <c r="A2" i="8" a="1"/>
  <c r="A2" i="8" s="1"/>
  <c r="AM7" i="5" a="1"/>
  <c r="AM7" i="5" s="1"/>
  <c r="AL7" i="5" a="1"/>
  <c r="AL7" i="5" s="1"/>
  <c r="AK7" i="5" a="1"/>
  <c r="AK7" i="5" s="1"/>
  <c r="AJ7" i="5" a="1"/>
  <c r="AJ7" i="5" s="1"/>
  <c r="AI7" i="5" a="1"/>
  <c r="AI7" i="5" s="1"/>
  <c r="AH7" i="5" a="1"/>
  <c r="AH7" i="5" s="1"/>
  <c r="AG7" i="5" a="1"/>
  <c r="AG7" i="5" s="1"/>
  <c r="AF7" i="5" a="1"/>
  <c r="AF7" i="5" s="1"/>
  <c r="AE7" i="5" a="1"/>
  <c r="AE7" i="5" s="1"/>
  <c r="AD7" i="5" a="1"/>
  <c r="AD7" i="5" s="1"/>
  <c r="AC7" i="5" a="1"/>
  <c r="AC7" i="5" s="1"/>
  <c r="AA7" i="5" a="1"/>
  <c r="AA7" i="5" s="1"/>
  <c r="Z7" i="5" a="1"/>
  <c r="Z7" i="5" s="1"/>
  <c r="Y7" i="5" a="1"/>
  <c r="Y7" i="5" s="1"/>
  <c r="X7" i="5" a="1"/>
  <c r="X7" i="5" s="1"/>
  <c r="W7" i="5" a="1"/>
  <c r="W7" i="5" s="1"/>
  <c r="V7" i="5" a="1"/>
  <c r="V7" i="5" s="1"/>
  <c r="U7" i="5" a="1"/>
  <c r="U7" i="5" s="1"/>
  <c r="T7" i="5" a="1"/>
  <c r="T7" i="5" s="1"/>
  <c r="R7" i="5" a="1"/>
  <c r="R7" i="5" s="1"/>
  <c r="Q7" i="5" a="1"/>
  <c r="Q7" i="5" s="1"/>
  <c r="P7" i="5" a="1"/>
  <c r="P7" i="5" s="1"/>
  <c r="O7" i="5" a="1"/>
  <c r="O7" i="5" s="1"/>
  <c r="N7" i="5" a="1"/>
  <c r="N7" i="5" s="1"/>
  <c r="M7" i="5" a="1"/>
  <c r="M7" i="5" s="1"/>
  <c r="L7" i="5" a="1"/>
  <c r="L7" i="5" s="1"/>
  <c r="K7" i="5" a="1"/>
  <c r="K7" i="5" s="1"/>
  <c r="J7" i="5" a="1"/>
  <c r="J7" i="5" s="1"/>
  <c r="I7" i="5" a="1"/>
  <c r="I7" i="5" s="1"/>
  <c r="H7" i="5" a="1"/>
  <c r="H7" i="5" s="1"/>
  <c r="G7" i="5" a="1"/>
  <c r="G7" i="5" s="1"/>
  <c r="F7" i="5" a="1"/>
  <c r="F7" i="5" s="1"/>
  <c r="E7" i="5" a="1"/>
  <c r="E7" i="5" s="1"/>
  <c r="D7" i="5" a="1"/>
  <c r="D7" i="5" s="1"/>
  <c r="C7" i="5" a="1"/>
  <c r="C7" i="5" s="1"/>
  <c r="AM5" i="5" a="1"/>
  <c r="AM5" i="5" s="1"/>
  <c r="AL5" i="5" a="1"/>
  <c r="AL5" i="5" s="1"/>
  <c r="AK5" i="5" a="1"/>
  <c r="AK5" i="5" s="1"/>
  <c r="AJ5" i="5" a="1"/>
  <c r="AJ5" i="5" s="1"/>
  <c r="AI5" i="5" a="1"/>
  <c r="AI5" i="5" s="1"/>
  <c r="AH5" i="5" a="1"/>
  <c r="AH5" i="5" s="1"/>
  <c r="AG5" i="5" a="1"/>
  <c r="AG5" i="5" s="1"/>
  <c r="AF5" i="5" a="1"/>
  <c r="AF5" i="5" s="1"/>
  <c r="AE5" i="5" a="1"/>
  <c r="AE5" i="5" s="1"/>
  <c r="AD5" i="5" a="1"/>
  <c r="AD5" i="5" s="1"/>
  <c r="AC5" i="5" a="1"/>
  <c r="AC5" i="5" s="1"/>
  <c r="AB5" i="5" a="1"/>
  <c r="AB5" i="5" s="1"/>
  <c r="AA5" i="5" a="1"/>
  <c r="AA5" i="5" s="1"/>
  <c r="Z5" i="5" a="1"/>
  <c r="Z5" i="5" s="1"/>
  <c r="Y5" i="5" a="1"/>
  <c r="Y5" i="5" s="1"/>
  <c r="X5" i="5" a="1"/>
  <c r="X5" i="5" s="1"/>
  <c r="W5" i="5" a="1"/>
  <c r="W5" i="5" s="1"/>
  <c r="V5" i="5" a="1"/>
  <c r="V5" i="5" s="1"/>
  <c r="U5" i="5" a="1"/>
  <c r="U5" i="5" s="1"/>
  <c r="T5" i="5" a="1"/>
  <c r="T5" i="5" s="1"/>
  <c r="R5" i="5" a="1"/>
  <c r="R5" i="5" s="1"/>
  <c r="Q5" i="5" a="1"/>
  <c r="Q5" i="5" s="1"/>
  <c r="P5" i="5" a="1"/>
  <c r="P5" i="5" s="1"/>
  <c r="O5" i="5" a="1"/>
  <c r="O5" i="5" s="1"/>
  <c r="N5" i="5" a="1"/>
  <c r="N5" i="5" s="1"/>
  <c r="M5" i="5" a="1"/>
  <c r="M5" i="5" s="1"/>
  <c r="L5" i="5" a="1"/>
  <c r="L5" i="5" s="1"/>
  <c r="K5" i="5" a="1"/>
  <c r="K5" i="5" s="1"/>
  <c r="J5" i="5" a="1"/>
  <c r="J5" i="5" s="1"/>
  <c r="I5" i="5" a="1"/>
  <c r="I5" i="5" s="1"/>
  <c r="H5" i="5" a="1"/>
  <c r="H5" i="5" s="1"/>
  <c r="G5" i="5" a="1"/>
  <c r="G5" i="5" s="1"/>
  <c r="F5" i="5" a="1"/>
  <c r="F5" i="5" s="1"/>
  <c r="E5" i="5" a="1"/>
  <c r="E5" i="5" s="1"/>
  <c r="D5" i="5" a="1"/>
  <c r="D5" i="5" s="1"/>
  <c r="C5" i="5" a="1"/>
  <c r="C5" i="5" s="1"/>
  <c r="AB7" i="5" a="1"/>
  <c r="AB7" i="5" s="1"/>
  <c r="B29" i="9" a="1"/>
  <c r="B29" i="9" s="1"/>
  <c r="B30" i="9" a="1"/>
  <c r="B30" i="9" s="1"/>
  <c r="B31" i="9" a="1"/>
  <c r="B31" i="9" s="1"/>
  <c r="B3" i="9" a="1"/>
  <c r="B3" i="9" s="1"/>
  <c r="B4" i="9" a="1"/>
  <c r="B4" i="9" s="1"/>
  <c r="B5" i="9" a="1"/>
  <c r="B5" i="9" s="1"/>
  <c r="B6" i="9" a="1"/>
  <c r="B6" i="9" s="1"/>
  <c r="B7" i="9" a="1"/>
  <c r="B7" i="9" s="1"/>
  <c r="B8" i="9" a="1"/>
  <c r="B8" i="9" s="1"/>
  <c r="B9" i="9" a="1"/>
  <c r="B9" i="9" s="1"/>
  <c r="B10" i="9" a="1"/>
  <c r="B10" i="9" s="1"/>
  <c r="B11" i="9" a="1"/>
  <c r="B11" i="9" s="1"/>
  <c r="B12" i="9" a="1"/>
  <c r="B12" i="9" s="1"/>
  <c r="B13" i="9" a="1"/>
  <c r="B13" i="9" s="1"/>
  <c r="B14" i="9" a="1"/>
  <c r="B14" i="9" s="1"/>
  <c r="B15" i="9" a="1"/>
  <c r="B15" i="9" s="1"/>
  <c r="B16" i="9" a="1"/>
  <c r="B16" i="9" s="1"/>
  <c r="B17" i="9" a="1"/>
  <c r="B17" i="9" s="1"/>
  <c r="B18" i="9" a="1"/>
  <c r="B18" i="9" s="1"/>
  <c r="B19" i="9" a="1"/>
  <c r="B19" i="9" s="1"/>
  <c r="B20" i="9" a="1"/>
  <c r="B20" i="9" s="1"/>
  <c r="B21" i="9" a="1"/>
  <c r="B21" i="9" s="1"/>
  <c r="B22" i="9" a="1"/>
  <c r="B22" i="9" s="1"/>
  <c r="B23" i="9" a="1"/>
  <c r="B23" i="9" s="1"/>
  <c r="B24" i="9" a="1"/>
  <c r="B24" i="9" s="1"/>
  <c r="B25" i="9" a="1"/>
  <c r="B25" i="9" s="1"/>
  <c r="B26" i="9" a="1"/>
  <c r="B26" i="9" s="1"/>
  <c r="B27" i="9" a="1"/>
  <c r="B27" i="9" s="1"/>
  <c r="B28" i="9" a="1"/>
  <c r="B28" i="9" s="1"/>
  <c r="B2" i="9" a="1"/>
  <c r="B2" i="9" s="1"/>
  <c r="C6" i="8"/>
  <c r="F6" i="8"/>
  <c r="C10" i="8"/>
  <c r="F10" i="8"/>
  <c r="C4" i="8"/>
  <c r="F4" i="8"/>
  <c r="C12" i="8"/>
  <c r="F12" i="8"/>
  <c r="C9" i="8"/>
  <c r="F9" i="8"/>
  <c r="C8" i="8"/>
  <c r="F8" i="8"/>
  <c r="C2" i="8"/>
  <c r="C3" i="8"/>
  <c r="C5" i="8"/>
  <c r="F2" i="8"/>
  <c r="F3" i="8"/>
  <c r="F5" i="8"/>
  <c r="C1" i="8"/>
  <c r="F1" i="8"/>
  <c r="A64" i="2" a="1"/>
  <c r="A64" i="2" s="1"/>
  <c r="A37" i="2" a="1"/>
  <c r="A37" i="2" s="1"/>
  <c r="A26" i="2" a="1"/>
  <c r="A26" i="2" s="1"/>
  <c r="A49" i="2" a="1"/>
  <c r="A49" i="2" s="1"/>
  <c r="A63" i="2" a="1"/>
  <c r="A63" i="2" s="1"/>
  <c r="A76" i="2" a="1"/>
  <c r="A76" i="2" s="1"/>
  <c r="A71" i="2" a="1"/>
  <c r="A71" i="2" s="1"/>
  <c r="A67" i="2" a="1"/>
  <c r="A67" i="2" s="1"/>
  <c r="A59" i="2" a="1"/>
  <c r="A59" i="2" s="1"/>
  <c r="A55" i="2" a="1"/>
  <c r="A55" i="2" s="1"/>
  <c r="A51" i="2" a="1"/>
  <c r="A51" i="2" s="1"/>
  <c r="A47" i="2" a="1"/>
  <c r="A47" i="2" s="1"/>
  <c r="A43" i="2" a="1"/>
  <c r="A43" i="2" s="1"/>
  <c r="A33" i="2" a="1"/>
  <c r="A33" i="2" s="1"/>
  <c r="A29" i="2" a="1"/>
  <c r="A29" i="2" s="1"/>
  <c r="A25" i="2" a="1"/>
  <c r="A25" i="2" s="1"/>
  <c r="A21" i="2" a="1"/>
  <c r="A21" i="2" s="1"/>
  <c r="A17" i="2" a="1"/>
  <c r="A17" i="2" s="1"/>
  <c r="A13" i="2" a="1"/>
  <c r="A13" i="2" s="1"/>
  <c r="A9" i="2" a="1"/>
  <c r="A9" i="2" s="1"/>
  <c r="A5" i="2" a="1"/>
  <c r="A5" i="2" s="1"/>
  <c r="A14" i="2" a="1"/>
  <c r="A14" i="2" s="1"/>
  <c r="A35" i="2" a="1"/>
  <c r="A35" i="2" s="1"/>
  <c r="A46" i="2" a="1"/>
  <c r="A46" i="2" s="1"/>
  <c r="A8" i="2" a="1"/>
  <c r="A8" i="2" s="1"/>
  <c r="A34" i="2" a="1"/>
  <c r="A34" i="2" s="1"/>
  <c r="A45" i="2" a="1"/>
  <c r="A45" i="2" s="1"/>
  <c r="A48" i="2" a="1"/>
  <c r="A48" i="2" s="1"/>
  <c r="A62" i="2" a="1"/>
  <c r="A62" i="2" s="1"/>
  <c r="A28" i="2" a="1"/>
  <c r="A28" i="2" s="1"/>
  <c r="A4" i="2" a="1"/>
  <c r="A4" i="2" s="1"/>
  <c r="A44" i="2" a="1"/>
  <c r="A44" i="2" s="1"/>
  <c r="A70" i="2" a="1"/>
  <c r="A70" i="2" s="1"/>
  <c r="A79" i="2" a="1"/>
  <c r="A79" i="2" s="1"/>
  <c r="A74" i="2" a="1"/>
  <c r="A74" i="2" s="1"/>
  <c r="A66" i="2" a="1"/>
  <c r="A66" i="2" s="1"/>
  <c r="A58" i="2" a="1"/>
  <c r="A58" i="2" s="1"/>
  <c r="A54" i="2" a="1"/>
  <c r="A54" i="2" s="1"/>
  <c r="A50" i="2" a="1"/>
  <c r="A50" i="2" s="1"/>
  <c r="A42" i="2" a="1"/>
  <c r="A42" i="2" s="1"/>
  <c r="A36" i="2" a="1"/>
  <c r="A36" i="2" s="1"/>
  <c r="A32" i="2" a="1"/>
  <c r="A32" i="2" s="1"/>
  <c r="A24" i="2" a="1"/>
  <c r="A24" i="2" s="1"/>
  <c r="A20" i="2" a="1"/>
  <c r="A20" i="2" s="1"/>
  <c r="A16" i="2" a="1"/>
  <c r="A16" i="2" s="1"/>
  <c r="A12" i="2" a="1"/>
  <c r="A12" i="2" s="1"/>
  <c r="A6" i="2" a="1"/>
  <c r="A6" i="2" s="1"/>
  <c r="A19" i="2" a="1"/>
  <c r="A19" i="2" s="1"/>
  <c r="A61" i="2" a="1"/>
  <c r="A61" i="2" s="1"/>
  <c r="A77" i="2" a="1"/>
  <c r="A77" i="2" s="1"/>
  <c r="A3" i="2" a="1"/>
  <c r="A3" i="2" s="1"/>
  <c r="A18" i="2" a="1"/>
  <c r="A18" i="2" s="1"/>
  <c r="A23" i="2" a="1"/>
  <c r="A23" i="2" s="1"/>
  <c r="A53" i="2" a="1"/>
  <c r="A53" i="2" s="1"/>
  <c r="A60" i="2" a="1"/>
  <c r="A60" i="2" s="1"/>
  <c r="A69" i="2" a="1"/>
  <c r="A69" i="2" s="1"/>
  <c r="A78" i="2" a="1"/>
  <c r="A78" i="2" s="1"/>
  <c r="A7" i="2" a="1"/>
  <c r="A7" i="2" s="1"/>
  <c r="A72" i="2" a="1"/>
  <c r="A72" i="2" s="1"/>
  <c r="A31" i="2" a="1"/>
  <c r="A31" i="2" s="1"/>
  <c r="A52" i="2" a="1"/>
  <c r="A52" i="2" s="1"/>
  <c r="A68" i="2" a="1"/>
  <c r="A68" i="2" s="1"/>
  <c r="A65" i="2" a="1"/>
  <c r="A65" i="2" s="1"/>
  <c r="A57" i="2" a="1"/>
  <c r="A57" i="2" s="1"/>
  <c r="A41" i="2" a="1"/>
  <c r="A41" i="2" s="1"/>
  <c r="A27" i="2" a="1"/>
  <c r="A27" i="2" s="1"/>
  <c r="A15" i="2" a="1"/>
  <c r="A15" i="2" s="1"/>
  <c r="A11" i="2" a="1"/>
  <c r="A11" i="2" s="1"/>
  <c r="A10" i="2" a="1"/>
  <c r="A10" i="2" s="1"/>
  <c r="A56" i="2" a="1"/>
  <c r="A56" i="2" s="1"/>
  <c r="A22" i="2" a="1"/>
  <c r="A22" i="2" s="1"/>
  <c r="A73" i="2" a="1"/>
  <c r="A73" i="2" s="1"/>
  <c r="A30" i="2" a="1"/>
  <c r="A30" i="2" s="1"/>
  <c r="A2" i="2" a="1"/>
  <c r="A2" i="2" s="1"/>
  <c r="A40" i="2" a="1"/>
  <c r="A4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<sst xmlns="http://schemas.openxmlformats.org/spreadsheetml/2006/main" count="6228" uniqueCount="1801">
  <si>
    <t>NULL</t>
  </si>
  <si>
    <t>CAST</t>
  </si>
  <si>
    <t>0.25</t>
  </si>
  <si>
    <t>DELAY</t>
  </si>
  <si>
    <t>0.65</t>
  </si>
  <si>
    <t>2.0</t>
  </si>
  <si>
    <t>0.2</t>
  </si>
  <si>
    <t>RANGE</t>
  </si>
  <si>
    <t>500.</t>
  </si>
  <si>
    <t>750.</t>
  </si>
  <si>
    <t>BACKSWING</t>
  </si>
  <si>
    <t>0.15</t>
  </si>
  <si>
    <t>75.0</t>
  </si>
  <si>
    <t>65.0</t>
  </si>
  <si>
    <t>145.0</t>
  </si>
  <si>
    <t>STARTAT</t>
  </si>
  <si>
    <t>45.0</t>
  </si>
  <si>
    <t>32.5</t>
  </si>
  <si>
    <t>VELO</t>
  </si>
  <si>
    <t>1875.0</t>
  </si>
  <si>
    <t>1100.0</t>
  </si>
  <si>
    <t>CHARGE_DURATION</t>
  </si>
  <si>
    <t>CHARGE_SPEED</t>
  </si>
  <si>
    <t>1250.0</t>
  </si>
  <si>
    <t>KNOCKBACK_DISTANCE</t>
  </si>
  <si>
    <t>100.0</t>
  </si>
  <si>
    <t>KNOCKBACK_DURATION</t>
  </si>
  <si>
    <t>0.5</t>
  </si>
  <si>
    <t>0.2</t>
    <phoneticPr fontId="3" type="noConversion"/>
  </si>
  <si>
    <t>1.55</t>
    <phoneticPr fontId="3" type="noConversion"/>
  </si>
  <si>
    <t>0.85</t>
    <phoneticPr fontId="3" type="noConversion"/>
  </si>
  <si>
    <t>0.05</t>
    <phoneticPr fontId="3" type="noConversion"/>
  </si>
  <si>
    <t>INTERVAL</t>
    <phoneticPr fontId="3" type="noConversion"/>
  </si>
  <si>
    <t>0.15</t>
    <phoneticPr fontId="3" type="noConversion"/>
  </si>
  <si>
    <t>575.0</t>
    <phoneticPr fontId="3" type="noConversion"/>
  </si>
  <si>
    <t>RANGE_SECONDARY</t>
    <phoneticPr fontId="3" type="noConversion"/>
  </si>
  <si>
    <t>TARGET_MAX</t>
    <phoneticPr fontId="3" type="noConversion"/>
  </si>
  <si>
    <t>4</t>
    <phoneticPr fontId="3" type="noConversion"/>
  </si>
  <si>
    <t>9.0</t>
    <phoneticPr fontId="3" type="noConversion"/>
  </si>
  <si>
    <t>600.0</t>
    <phoneticPr fontId="3" type="noConversion"/>
  </si>
  <si>
    <t>0.1</t>
    <phoneticPr fontId="3" type="noConversion"/>
  </si>
  <si>
    <t>DAMAGE_AMPLIFIER1</t>
    <phoneticPr fontId="3" type="noConversion"/>
  </si>
  <si>
    <t>1.5</t>
    <phoneticPr fontId="3" type="noConversion"/>
  </si>
  <si>
    <t>2.25</t>
    <phoneticPr fontId="3" type="noConversion"/>
  </si>
  <si>
    <t>NAME</t>
    <phoneticPr fontId="3" type="noConversion"/>
  </si>
  <si>
    <t>방패 밀어치기</t>
    <phoneticPr fontId="3" type="noConversion"/>
  </si>
  <si>
    <t>쌍극의 번개</t>
    <phoneticPr fontId="3" type="noConversion"/>
  </si>
  <si>
    <t>구식 저격총</t>
    <phoneticPr fontId="3" type="noConversion"/>
  </si>
  <si>
    <t>화염구</t>
    <phoneticPr fontId="3" type="noConversion"/>
  </si>
  <si>
    <t>연쇄번개</t>
    <phoneticPr fontId="3" type="noConversion"/>
  </si>
  <si>
    <t>신성의 빛</t>
    <phoneticPr fontId="3" type="noConversion"/>
  </si>
  <si>
    <t>점멸</t>
    <phoneticPr fontId="3" type="noConversion"/>
  </si>
  <si>
    <t>순보</t>
    <phoneticPr fontId="3" type="noConversion"/>
  </si>
  <si>
    <t>500.0</t>
    <phoneticPr fontId="3" type="noConversion"/>
  </si>
  <si>
    <t>1.25</t>
    <phoneticPr fontId="3" type="noConversion"/>
  </si>
  <si>
    <t>0.35</t>
    <phoneticPr fontId="3" type="noConversion"/>
  </si>
  <si>
    <t>65.0</t>
    <phoneticPr fontId="3" type="noConversion"/>
  </si>
  <si>
    <t>다중사격</t>
    <phoneticPr fontId="3" type="noConversion"/>
  </si>
  <si>
    <t>1.68</t>
    <phoneticPr fontId="3" type="noConversion"/>
  </si>
  <si>
    <t>32.5</t>
    <phoneticPr fontId="3" type="noConversion"/>
  </si>
  <si>
    <t>1400.0</t>
    <phoneticPr fontId="3" type="noConversion"/>
  </si>
  <si>
    <t>725.0</t>
    <phoneticPr fontId="3" type="noConversion"/>
  </si>
  <si>
    <t>COUNT</t>
    <phoneticPr fontId="3" type="noConversion"/>
  </si>
  <si>
    <t>WIDTH</t>
    <phoneticPr fontId="3" type="noConversion"/>
  </si>
  <si>
    <t>30.0</t>
    <phoneticPr fontId="3" type="noConversion"/>
  </si>
  <si>
    <t>5</t>
    <phoneticPr fontId="3" type="noConversion"/>
  </si>
  <si>
    <t>WEAPON_RANGE</t>
    <phoneticPr fontId="3" type="noConversion"/>
  </si>
  <si>
    <t>WEAPON_DELAY</t>
    <phoneticPr fontId="3" type="noConversion"/>
  </si>
  <si>
    <t>WEAPON_IS_RANGED</t>
    <phoneticPr fontId="3" type="noConversion"/>
  </si>
  <si>
    <t>false</t>
    <phoneticPr fontId="3" type="noConversion"/>
  </si>
  <si>
    <t>125.0</t>
    <phoneticPr fontId="3" type="noConversion"/>
  </si>
  <si>
    <t>2.0</t>
    <phoneticPr fontId="3" type="noConversion"/>
  </si>
  <si>
    <t>짓밟기</t>
    <phoneticPr fontId="3" type="noConversion"/>
  </si>
  <si>
    <t>0.65</t>
    <phoneticPr fontId="3" type="noConversion"/>
  </si>
  <si>
    <t>뾰족한 가시</t>
    <phoneticPr fontId="3" type="noConversion"/>
  </si>
  <si>
    <t>0.25</t>
    <phoneticPr fontId="3" type="noConversion"/>
  </si>
  <si>
    <t>25.0</t>
    <phoneticPr fontId="3" type="noConversion"/>
  </si>
  <si>
    <t>1.15</t>
    <phoneticPr fontId="3" type="noConversion"/>
  </si>
  <si>
    <t>1485.0</t>
    <phoneticPr fontId="3" type="noConversion"/>
  </si>
  <si>
    <t>true</t>
    <phoneticPr fontId="3" type="noConversion"/>
  </si>
  <si>
    <t>RADIUS1</t>
    <phoneticPr fontId="3" type="noConversion"/>
  </si>
  <si>
    <t>사기의 외침</t>
    <phoneticPr fontId="3" type="noConversion"/>
  </si>
  <si>
    <t>8</t>
    <phoneticPr fontId="3" type="noConversion"/>
  </si>
  <si>
    <t>450.</t>
    <phoneticPr fontId="3" type="noConversion"/>
  </si>
  <si>
    <t>ROTSPEED</t>
    <phoneticPr fontId="3" type="noConversion"/>
  </si>
  <si>
    <t>DURATION</t>
    <phoneticPr fontId="3" type="noConversion"/>
  </si>
  <si>
    <t>6.0</t>
    <phoneticPr fontId="3" type="noConversion"/>
  </si>
  <si>
    <t>8.0</t>
    <phoneticPr fontId="3" type="noConversion"/>
  </si>
  <si>
    <t>0.22</t>
    <phoneticPr fontId="3" type="noConversion"/>
  </si>
  <si>
    <t>5.0</t>
    <phoneticPr fontId="3" type="noConversion"/>
  </si>
  <si>
    <t>24.0</t>
    <phoneticPr fontId="3" type="noConversion"/>
  </si>
  <si>
    <t>RADIUS2</t>
    <phoneticPr fontId="3" type="noConversion"/>
  </si>
  <si>
    <t>RADIUS3</t>
    <phoneticPr fontId="3" type="noConversion"/>
  </si>
  <si>
    <t>박치기</t>
    <phoneticPr fontId="3" type="noConversion"/>
  </si>
  <si>
    <t>1.0</t>
    <phoneticPr fontId="3" type="noConversion"/>
  </si>
  <si>
    <t>역류의 칼날</t>
    <phoneticPr fontId="3" type="noConversion"/>
  </si>
  <si>
    <t>10.0</t>
    <phoneticPr fontId="3" type="noConversion"/>
  </si>
  <si>
    <t>3.5</t>
    <phoneticPr fontId="3" type="noConversion"/>
  </si>
  <si>
    <t>0.3</t>
    <phoneticPr fontId="3" type="noConversion"/>
  </si>
  <si>
    <t>그물 던지기</t>
    <phoneticPr fontId="3" type="noConversion"/>
  </si>
  <si>
    <t>0.5</t>
    <phoneticPr fontId="3" type="noConversion"/>
  </si>
  <si>
    <t>28.5</t>
    <phoneticPr fontId="3" type="noConversion"/>
  </si>
  <si>
    <t>55.0</t>
    <phoneticPr fontId="3" type="noConversion"/>
  </si>
  <si>
    <t>1100.0</t>
    <phoneticPr fontId="3" type="noConversion"/>
  </si>
  <si>
    <t>800.0</t>
    <phoneticPr fontId="3" type="noConversion"/>
  </si>
  <si>
    <t>4.0</t>
    <phoneticPr fontId="3" type="noConversion"/>
  </si>
  <si>
    <t>550.0</t>
    <phoneticPr fontId="3" type="noConversion"/>
  </si>
  <si>
    <t>가우스 라이플</t>
    <phoneticPr fontId="3" type="noConversion"/>
  </si>
  <si>
    <t>0.4</t>
    <phoneticPr fontId="3" type="noConversion"/>
  </si>
  <si>
    <t>1550.0</t>
    <phoneticPr fontId="3" type="noConversion"/>
  </si>
  <si>
    <t>150.0</t>
    <phoneticPr fontId="3" type="noConversion"/>
  </si>
  <si>
    <t>1.35</t>
    <phoneticPr fontId="3" type="noConversion"/>
  </si>
  <si>
    <t>청록의 파동</t>
    <phoneticPr fontId="3" type="noConversion"/>
  </si>
  <si>
    <t>225.0</t>
    <phoneticPr fontId="3" type="noConversion"/>
  </si>
  <si>
    <t>사냥꾼의 장궁</t>
    <phoneticPr fontId="3" type="noConversion"/>
  </si>
  <si>
    <t>1.1</t>
    <phoneticPr fontId="3" type="noConversion"/>
  </si>
  <si>
    <t>전기충격기 건설</t>
    <phoneticPr fontId="3" type="noConversion"/>
  </si>
  <si>
    <t>100.0</t>
    <phoneticPr fontId="3" type="noConversion"/>
  </si>
  <si>
    <t>0.08</t>
    <phoneticPr fontId="3" type="noConversion"/>
  </si>
  <si>
    <t>415.0</t>
    <phoneticPr fontId="3" type="noConversion"/>
  </si>
  <si>
    <t>번개 발톱</t>
    <phoneticPr fontId="3" type="noConversion"/>
  </si>
  <si>
    <t>0.55</t>
    <phoneticPr fontId="3" type="noConversion"/>
  </si>
  <si>
    <t>뛰어들기</t>
    <phoneticPr fontId="3" type="noConversion"/>
  </si>
  <si>
    <t>1500.0</t>
    <phoneticPr fontId="3" type="noConversion"/>
  </si>
  <si>
    <t>끈적거미</t>
    <phoneticPr fontId="3" type="noConversion"/>
  </si>
  <si>
    <t>1.05</t>
    <phoneticPr fontId="3" type="noConversion"/>
  </si>
  <si>
    <t>900.0</t>
    <phoneticPr fontId="3" type="noConversion"/>
  </si>
  <si>
    <t>치고 빠지기</t>
    <phoneticPr fontId="3" type="noConversion"/>
  </si>
  <si>
    <t>2560.0</t>
    <phoneticPr fontId="3" type="noConversion"/>
  </si>
  <si>
    <t>암흑의 마법봉</t>
    <phoneticPr fontId="3" type="noConversion"/>
  </si>
  <si>
    <t>1200.0</t>
    <phoneticPr fontId="3" type="noConversion"/>
  </si>
  <si>
    <t>오염된 식칼</t>
    <phoneticPr fontId="3" type="noConversion"/>
  </si>
  <si>
    <t>0.75</t>
    <phoneticPr fontId="3" type="noConversion"/>
  </si>
  <si>
    <t>힘의 장갑</t>
    <phoneticPr fontId="3" type="noConversion"/>
  </si>
  <si>
    <t>날카로운 갈고리</t>
    <phoneticPr fontId="3" type="noConversion"/>
  </si>
  <si>
    <t>DAMAGE_STAT1</t>
    <phoneticPr fontId="3" type="noConversion"/>
  </si>
  <si>
    <t>DAMAGE_STAT2</t>
    <phoneticPr fontId="3" type="noConversion"/>
  </si>
  <si>
    <t>전투 자극제</t>
    <phoneticPr fontId="3" type="noConversion"/>
  </si>
  <si>
    <t>칼날바람</t>
    <phoneticPr fontId="3" type="noConversion"/>
  </si>
  <si>
    <t>200.0</t>
    <phoneticPr fontId="3" type="noConversion"/>
  </si>
  <si>
    <t>마법 카드패</t>
    <phoneticPr fontId="3" type="noConversion"/>
  </si>
  <si>
    <t>0.6</t>
    <phoneticPr fontId="3" type="noConversion"/>
  </si>
  <si>
    <t>255.0</t>
    <phoneticPr fontId="3" type="noConversion"/>
  </si>
  <si>
    <t>1250.0</t>
    <phoneticPr fontId="3" type="noConversion"/>
  </si>
  <si>
    <t>암흑비전파동</t>
    <phoneticPr fontId="3" type="noConversion"/>
  </si>
  <si>
    <t>2.65</t>
    <phoneticPr fontId="3" type="noConversion"/>
  </si>
  <si>
    <t>80.0</t>
    <phoneticPr fontId="3" type="noConversion"/>
  </si>
  <si>
    <t>2.5</t>
    <phoneticPr fontId="3" type="noConversion"/>
  </si>
  <si>
    <t>1000.0</t>
    <phoneticPr fontId="3" type="noConversion"/>
  </si>
  <si>
    <t>450.0</t>
    <phoneticPr fontId="3" type="noConversion"/>
  </si>
  <si>
    <t>3</t>
    <phoneticPr fontId="3" type="noConversion"/>
  </si>
  <si>
    <t>CHARGE</t>
    <phoneticPr fontId="3" type="noConversion"/>
  </si>
  <si>
    <t>수리검 투척</t>
    <phoneticPr fontId="3" type="noConversion"/>
  </si>
  <si>
    <t>35.0</t>
    <phoneticPr fontId="3" type="noConversion"/>
  </si>
  <si>
    <t>불붙은 시미터</t>
    <phoneticPr fontId="3" type="noConversion"/>
  </si>
  <si>
    <t>1.2</t>
    <phoneticPr fontId="3" type="noConversion"/>
  </si>
  <si>
    <t>낚시</t>
    <phoneticPr fontId="3" type="noConversion"/>
  </si>
  <si>
    <t>돌진</t>
    <phoneticPr fontId="3" type="noConversion"/>
  </si>
  <si>
    <t>75.0</t>
    <phoneticPr fontId="3" type="noConversion"/>
  </si>
  <si>
    <t>돼지 조련술</t>
    <phoneticPr fontId="3" type="noConversion"/>
  </si>
  <si>
    <t>0.02</t>
    <phoneticPr fontId="3" type="noConversion"/>
  </si>
  <si>
    <t>650.0</t>
    <phoneticPr fontId="3" type="noConversion"/>
  </si>
  <si>
    <t>퇴마의 장막</t>
    <phoneticPr fontId="3" type="noConversion"/>
  </si>
  <si>
    <t>맹독 칼날</t>
    <phoneticPr fontId="3" type="noConversion"/>
  </si>
  <si>
    <t>회심의 일격</t>
    <phoneticPr fontId="3" type="noConversion"/>
  </si>
  <si>
    <t>도약강타</t>
    <phoneticPr fontId="3" type="noConversion"/>
  </si>
  <si>
    <t>175.0</t>
    <phoneticPr fontId="3" type="noConversion"/>
  </si>
  <si>
    <t>1.8</t>
    <phoneticPr fontId="3" type="noConversion"/>
  </si>
  <si>
    <t>악령의 칼날</t>
    <phoneticPr fontId="3" type="noConversion"/>
  </si>
  <si>
    <t>0.7</t>
    <phoneticPr fontId="3" type="noConversion"/>
  </si>
  <si>
    <t>3.0</t>
    <phoneticPr fontId="3" type="noConversion"/>
  </si>
  <si>
    <t>광폭화</t>
    <phoneticPr fontId="3" type="noConversion"/>
  </si>
  <si>
    <t>자연의 결속</t>
    <phoneticPr fontId="3" type="noConversion"/>
  </si>
  <si>
    <t>1080.0</t>
    <phoneticPr fontId="3" type="noConversion"/>
  </si>
  <si>
    <t>정찰탑 건설</t>
    <phoneticPr fontId="3" type="noConversion"/>
  </si>
  <si>
    <t>늑대의 상</t>
    <phoneticPr fontId="3" type="noConversion"/>
  </si>
  <si>
    <t>고대 코끼리의 상</t>
    <phoneticPr fontId="3" type="noConversion"/>
  </si>
  <si>
    <t>광란</t>
    <phoneticPr fontId="3" type="noConversion"/>
  </si>
  <si>
    <t>산성 거미줄</t>
    <phoneticPr fontId="3" type="noConversion"/>
  </si>
  <si>
    <t>그림자 화살</t>
    <phoneticPr fontId="3" type="noConversion"/>
  </si>
  <si>
    <t>1050.0</t>
    <phoneticPr fontId="3" type="noConversion"/>
  </si>
  <si>
    <t>166.0</t>
    <phoneticPr fontId="3" type="noConversion"/>
  </si>
  <si>
    <t>545.0</t>
    <phoneticPr fontId="3" type="noConversion"/>
  </si>
  <si>
    <t>해골 전사 소환</t>
    <phoneticPr fontId="3" type="noConversion"/>
  </si>
  <si>
    <t>2</t>
    <phoneticPr fontId="3" type="noConversion"/>
  </si>
  <si>
    <t>15.0</t>
    <phoneticPr fontId="3" type="noConversion"/>
  </si>
  <si>
    <t>부패가스</t>
    <phoneticPr fontId="3" type="noConversion"/>
  </si>
  <si>
    <t>기관총 난사</t>
    <phoneticPr fontId="3" type="noConversion"/>
  </si>
  <si>
    <t>0.125</t>
    <phoneticPr fontId="3" type="noConversion"/>
  </si>
  <si>
    <t>10</t>
    <phoneticPr fontId="3" type="noConversion"/>
  </si>
  <si>
    <t>0.45</t>
    <phoneticPr fontId="3" type="noConversion"/>
  </si>
  <si>
    <t>1875.0</t>
    <phoneticPr fontId="3" type="noConversion"/>
  </si>
  <si>
    <t>750.0</t>
    <phoneticPr fontId="3" type="noConversion"/>
  </si>
  <si>
    <t>15</t>
    <phoneticPr fontId="3" type="noConversion"/>
  </si>
  <si>
    <t>감속</t>
    <phoneticPr fontId="3" type="noConversion"/>
  </si>
  <si>
    <t>4.5</t>
    <phoneticPr fontId="3" type="noConversion"/>
  </si>
  <si>
    <t>착취의 보옥</t>
    <phoneticPr fontId="3" type="noConversion"/>
  </si>
  <si>
    <t>전격 구체</t>
    <phoneticPr fontId="3" type="noConversion"/>
  </si>
  <si>
    <t>1.3</t>
    <phoneticPr fontId="3" type="noConversion"/>
  </si>
  <si>
    <t>400.0</t>
    <phoneticPr fontId="3" type="noConversion"/>
  </si>
  <si>
    <t>1.4</t>
    <phoneticPr fontId="3" type="noConversion"/>
  </si>
  <si>
    <t>바람 칼날</t>
    <phoneticPr fontId="3" type="noConversion"/>
  </si>
  <si>
    <t>1600.0</t>
    <phoneticPr fontId="3" type="noConversion"/>
  </si>
  <si>
    <t>2000.0</t>
    <phoneticPr fontId="3" type="noConversion"/>
  </si>
  <si>
    <t>755.0</t>
    <phoneticPr fontId="3" type="noConversion"/>
  </si>
  <si>
    <t>강철 군마</t>
    <phoneticPr fontId="3" type="noConversion"/>
  </si>
  <si>
    <t>갈고리 던지기</t>
    <phoneticPr fontId="3" type="noConversion"/>
  </si>
  <si>
    <t>1350.0</t>
    <phoneticPr fontId="3" type="noConversion"/>
  </si>
  <si>
    <t>155.0</t>
    <phoneticPr fontId="3" type="noConversion"/>
  </si>
  <si>
    <t>2.85</t>
    <phoneticPr fontId="3" type="noConversion"/>
  </si>
  <si>
    <t>미사일 컨테이너</t>
    <phoneticPr fontId="3" type="noConversion"/>
  </si>
  <si>
    <t>20</t>
    <phoneticPr fontId="3" type="noConversion"/>
  </si>
  <si>
    <t>불사조</t>
    <phoneticPr fontId="3" type="noConversion"/>
  </si>
  <si>
    <t>3.75</t>
    <phoneticPr fontId="3" type="noConversion"/>
  </si>
  <si>
    <t>STAT_BONUS1</t>
    <phoneticPr fontId="3" type="noConversion"/>
  </si>
  <si>
    <t>STAT_BONUS2</t>
    <phoneticPr fontId="3" type="noConversion"/>
  </si>
  <si>
    <t>화룡의 숨결</t>
    <phoneticPr fontId="3" type="noConversion"/>
  </si>
  <si>
    <t>0.67</t>
    <phoneticPr fontId="3" type="noConversion"/>
  </si>
  <si>
    <t>250.0</t>
    <phoneticPr fontId="3" type="noConversion"/>
  </si>
  <si>
    <t>종막: 이스보셋</t>
    <phoneticPr fontId="3" type="noConversion"/>
  </si>
  <si>
    <t>0.8</t>
    <phoneticPr fontId="3" type="noConversion"/>
  </si>
  <si>
    <t>50.0</t>
    <phoneticPr fontId="3" type="noConversion"/>
  </si>
  <si>
    <t>C000</t>
    <phoneticPr fontId="3" type="noConversion"/>
  </si>
  <si>
    <t>C001</t>
    <phoneticPr fontId="3" type="noConversion"/>
  </si>
  <si>
    <t>C002</t>
    <phoneticPr fontId="3" type="noConversion"/>
  </si>
  <si>
    <t>C003</t>
    <phoneticPr fontId="3" type="noConversion"/>
  </si>
  <si>
    <t>C004</t>
    <phoneticPr fontId="3" type="noConversion"/>
  </si>
  <si>
    <t>C005</t>
  </si>
  <si>
    <t>C006</t>
  </si>
  <si>
    <t>C007</t>
  </si>
  <si>
    <t>C008</t>
  </si>
  <si>
    <t>새내기</t>
    <phoneticPr fontId="3" type="noConversion"/>
  </si>
  <si>
    <t>동인천 역가드</t>
    <phoneticPr fontId="3" type="noConversion"/>
  </si>
  <si>
    <t>가짜광기</t>
    <phoneticPr fontId="3" type="noConversion"/>
  </si>
  <si>
    <t>꿈나무</t>
    <phoneticPr fontId="3" type="noConversion"/>
  </si>
  <si>
    <t>아이돌</t>
    <phoneticPr fontId="3" type="noConversion"/>
  </si>
  <si>
    <t>정의의 사도</t>
    <phoneticPr fontId="3" type="noConversion"/>
  </si>
  <si>
    <t>치유계</t>
    <phoneticPr fontId="3" type="noConversion"/>
  </si>
  <si>
    <t>패셔니스타</t>
    <phoneticPr fontId="3" type="noConversion"/>
  </si>
  <si>
    <t>밤의 일족</t>
    <phoneticPr fontId="3" type="noConversion"/>
  </si>
  <si>
    <t>ID</t>
    <phoneticPr fontId="3" type="noConversion"/>
  </si>
  <si>
    <t>ICON_PATH</t>
    <phoneticPr fontId="3" type="noConversion"/>
  </si>
  <si>
    <t>integer</t>
    <phoneticPr fontId="3" type="noConversion"/>
  </si>
  <si>
    <t>string</t>
    <phoneticPr fontId="3" type="noConversion"/>
  </si>
  <si>
    <t>TIER</t>
    <phoneticPr fontId="3" type="noConversion"/>
  </si>
  <si>
    <t>COST</t>
    <phoneticPr fontId="3" type="noConversion"/>
  </si>
  <si>
    <t>IS_WEAPON</t>
    <phoneticPr fontId="3" type="noConversion"/>
  </si>
  <si>
    <t>boolean</t>
    <phoneticPr fontId="3" type="noConversion"/>
  </si>
  <si>
    <t>real</t>
    <phoneticPr fontId="3" type="noConversion"/>
  </si>
  <si>
    <t>1</t>
  </si>
  <si>
    <t>1</t>
    <phoneticPr fontId="3" type="noConversion"/>
  </si>
  <si>
    <t>0</t>
    <phoneticPr fontId="3" type="noConversion"/>
  </si>
  <si>
    <t>fourcc</t>
    <phoneticPr fontId="3" type="noConversion"/>
  </si>
  <si>
    <t>iconpath</t>
    <phoneticPr fontId="3" type="noConversion"/>
  </si>
  <si>
    <t>BTNAbility_Warrior_ShieldBash</t>
  </si>
  <si>
    <t>btnAbility_protoss-doubleshieldrecharge</t>
  </si>
  <si>
    <t>BTNDwarvenLongRifle</t>
    <phoneticPr fontId="3" type="noConversion"/>
  </si>
  <si>
    <t>BTNFireBolt</t>
  </si>
  <si>
    <t>btnAbility_swarm-kerrigan-chainreaction</t>
  </si>
  <si>
    <t>BTNHolyBolt</t>
  </si>
  <si>
    <t>BTNBlink</t>
  </si>
  <si>
    <t>BTNAbility_SavageStrike</t>
  </si>
  <si>
    <t>BTNAbility_Multishot</t>
  </si>
  <si>
    <t>BTNSteelMelee</t>
  </si>
  <si>
    <t>BTNWarStomp</t>
  </si>
  <si>
    <t>BTNQuillSprayOff</t>
  </si>
  <si>
    <t>BTNAbility_Shout1</t>
  </si>
  <si>
    <t>BTNDizzy</t>
  </si>
  <si>
    <t>BTNFeedBack</t>
  </si>
  <si>
    <t>BTNEnsnare</t>
  </si>
  <si>
    <t>BTNOrcMeleeUpOne</t>
  </si>
  <si>
    <t>btnAbility_tychus-weapons-level4</t>
  </si>
  <si>
    <t>BTNAbility_Nature_AbolishMagic</t>
  </si>
  <si>
    <t>BTNImprovedBows</t>
  </si>
  <si>
    <t>BTNPowerGenerator</t>
  </si>
  <si>
    <t>btnability-protoss-beambounce</t>
  </si>
  <si>
    <t>BTNShamanAdept</t>
  </si>
  <si>
    <t>BTNGhoulFrenzy</t>
  </si>
  <si>
    <t>BTNAbility_MonsterSpiderCarapace_01</t>
  </si>
  <si>
    <t>BTNAbility_Shadow_Shadowfury</t>
  </si>
  <si>
    <t>BTNWandSkull</t>
  </si>
  <si>
    <t>BTNAbility_storm_ui_icon_stitches_slam</t>
  </si>
  <si>
    <t>BTNGauntletsOfOgrePower</t>
  </si>
  <si>
    <t>BTNClawsOfAttack</t>
  </si>
  <si>
    <t>BTNAbility_terran-stimpack-color</t>
  </si>
  <si>
    <t>BTNWhirlwind</t>
  </si>
  <si>
    <t>BTNAbility_PickACard</t>
  </si>
  <si>
    <t>BTNAbility_ArchonQ</t>
  </si>
  <si>
    <t>BTNAbility_Shuriken</t>
  </si>
  <si>
    <t>BTNAbility_Gangplank_Passive</t>
  </si>
  <si>
    <t>BTNAbility_Fishingpole</t>
  </si>
  <si>
    <t>BTNAbility_storm_ui_icon_varian_charge</t>
  </si>
  <si>
    <t>BTNPig</t>
  </si>
  <si>
    <t>BTNSpellBreakerMagicDefend</t>
  </si>
  <si>
    <t>BTNEnvenomedSpear</t>
  </si>
  <si>
    <t>BTNAbility_Paladin_SwiftRetribution</t>
  </si>
  <si>
    <t>BTNAbility_storm_ui_icon_sonya_leap</t>
  </si>
  <si>
    <t>BTNAbility_Shadow_RitualOfSacrifice</t>
  </si>
  <si>
    <t>BTNBerserkForTrolls</t>
  </si>
  <si>
    <t>BTNManaFlare</t>
  </si>
  <si>
    <t>BTNHumanWatchTower</t>
  </si>
  <si>
    <t>BTNSpiritWolf</t>
  </si>
  <si>
    <t>BTNBlackMammoth</t>
  </si>
  <si>
    <t>BTNUnholyFrenzy</t>
  </si>
  <si>
    <t>BTNAbility_Web0</t>
  </si>
  <si>
    <t>BTNAbility_Shadow_PainSpike</t>
  </si>
  <si>
    <t>BTNSkeletonWarrior</t>
  </si>
  <si>
    <t>BTNPlagueCloud</t>
  </si>
  <si>
    <t>BTNFlakCannons</t>
  </si>
  <si>
    <t>BTNSlow</t>
  </si>
  <si>
    <t>BTNOrbOfDeath</t>
  </si>
  <si>
    <t>BTNOrbOfLightning</t>
  </si>
  <si>
    <t>BTNAbility_WindBlade0</t>
  </si>
  <si>
    <t>BTNRiderlessHorse</t>
  </si>
  <si>
    <t>BTNAbility_storm_ui_icon_stitches_hook</t>
  </si>
  <si>
    <t>BTNAbility_storm_ui_icon_kaelthas_phoenix</t>
  </si>
  <si>
    <t>BTNClusterRockets</t>
  </si>
  <si>
    <t>BTNAbility_storm_ui_icon_deathwing_molten_flame</t>
  </si>
  <si>
    <t>BTNAbility_Isubosete</t>
  </si>
  <si>
    <t>BTNMurgalSlave</t>
  </si>
  <si>
    <t>BTNSacrifice</t>
  </si>
  <si>
    <t>BTNAcorn</t>
  </si>
  <si>
    <t>BTNSorceress</t>
  </si>
  <si>
    <t>BTNRacoon</t>
  </si>
  <si>
    <t>BTNFountainOfLife</t>
  </si>
  <si>
    <t>BTNRobeOfTheMagi</t>
  </si>
  <si>
    <t>BTNElunesBlessing</t>
  </si>
  <si>
    <t>DATA_REAL1</t>
    <phoneticPr fontId="3" type="noConversion"/>
  </si>
  <si>
    <t>DATA_REAL2</t>
  </si>
  <si>
    <t>DATA_REAL3</t>
  </si>
  <si>
    <t>DATA_REAL4</t>
  </si>
  <si>
    <t>DATA_REAL5</t>
  </si>
  <si>
    <t>DATA_REAL6</t>
  </si>
  <si>
    <t>DATA_REAL7</t>
  </si>
  <si>
    <t>DATA_REAL8</t>
  </si>
  <si>
    <t>DATA_REAL9</t>
  </si>
  <si>
    <t>DATA_REAL10</t>
  </si>
  <si>
    <t>DATA_INTEGER1</t>
    <phoneticPr fontId="3" type="noConversion"/>
  </si>
  <si>
    <t>DATA_INTEGER2</t>
  </si>
  <si>
    <t>DATA_INTEGER3</t>
  </si>
  <si>
    <t>DATA_INTEGER4</t>
  </si>
  <si>
    <t>DATA_INTEGER5</t>
  </si>
  <si>
    <t>DATA_INTEGER6</t>
  </si>
  <si>
    <t>DATA_INTEGER7</t>
  </si>
  <si>
    <t>DATA_INTEGER8</t>
  </si>
  <si>
    <t>DATA_INTEGER9</t>
  </si>
  <si>
    <t>DATA_INTEGER10</t>
  </si>
  <si>
    <t>DATA_BOOLEAN1</t>
    <phoneticPr fontId="3" type="noConversion"/>
  </si>
  <si>
    <t>DATA_BOOLEAN2</t>
  </si>
  <si>
    <t>DATA_BOOLEAN3</t>
  </si>
  <si>
    <t>DATA_BOOLEAN4</t>
  </si>
  <si>
    <t>DATA_BOOLEAN5</t>
  </si>
  <si>
    <t>DATA_BOOLEAN6</t>
  </si>
  <si>
    <t>DATA_BOOLEAN7</t>
  </si>
  <si>
    <t>DATA_BOOLEAN8</t>
  </si>
  <si>
    <t>DATA_BOOLEAN9</t>
  </si>
  <si>
    <t>DATA_BOOLEAN10</t>
  </si>
  <si>
    <t>17</t>
    <phoneticPr fontId="3" type="noConversion"/>
  </si>
  <si>
    <t>DATA_DESCRIPTION_REAL1</t>
    <phoneticPr fontId="3" type="noConversion"/>
  </si>
  <si>
    <t>DATA_DESCRIPTION_REAL2</t>
  </si>
  <si>
    <t>DATA_DESCRIPTION_REAL3</t>
  </si>
  <si>
    <t>DATA_DESCRIPTION_REAL4</t>
  </si>
  <si>
    <t>DATA_DESCRIPTION_REAL5</t>
  </si>
  <si>
    <t>DATA_DESCRIPTION_REAL6</t>
  </si>
  <si>
    <t>DATA_DESCRIPTION_REAL7</t>
  </si>
  <si>
    <t>DATA_DESCRIPTION_REAL8</t>
  </si>
  <si>
    <t>DATA_DESCRIPTION_REAL9</t>
  </si>
  <si>
    <t>DATA_DESCRIPTION_REAL10</t>
  </si>
  <si>
    <t>DATA_DESCRIPTION_INTEGER1</t>
    <phoneticPr fontId="3" type="noConversion"/>
  </si>
  <si>
    <t>DATA_DESCRIPTION_INTEGER2</t>
  </si>
  <si>
    <t>DATA_DESCRIPTION_INTEGER3</t>
  </si>
  <si>
    <t>DATA_DESCRIPTION_INTEGER4</t>
  </si>
  <si>
    <t>DATA_DESCRIPTION_INTEGER5</t>
  </si>
  <si>
    <t>DATA_DESCRIPTION_INTEGER6</t>
  </si>
  <si>
    <t>DATA_DESCRIPTION_INTEGER7</t>
  </si>
  <si>
    <t>DATA_DESCRIPTION_INTEGER8</t>
  </si>
  <si>
    <t>DATA_DESCRIPTION_INTEGER9</t>
  </si>
  <si>
    <t>DATA_DESCRIPTION_INTEGER10</t>
  </si>
  <si>
    <t>DATA_DESCRIPTION_BOOLEAN1</t>
    <phoneticPr fontId="3" type="noConversion"/>
  </si>
  <si>
    <t>DATA_DESCRIPTION_BOOLEAN2</t>
  </si>
  <si>
    <t>DATA_DESCRIPTION_BOOLEAN3</t>
  </si>
  <si>
    <t>DATA_DESCRIPTION_BOOLEAN4</t>
  </si>
  <si>
    <t>DATA_DESCRIPTION_BOOLEAN5</t>
  </si>
  <si>
    <t>DATA_DESCRIPTION_BOOLEAN6</t>
  </si>
  <si>
    <t>DATA_DESCRIPTION_BOOLEAN7</t>
  </si>
  <si>
    <t>DATA_DESCRIPTION_BOOLEAN8</t>
  </si>
  <si>
    <t>DATA_DESCRIPTION_BOOLEAN9</t>
  </si>
  <si>
    <t>DATA_DESCRIPTION_BOOLEAN10</t>
  </si>
  <si>
    <t>주문력 비례 회복량</t>
    <phoneticPr fontId="3" type="noConversion"/>
  </si>
  <si>
    <t>시전자 최대체력 비례 회복량</t>
    <phoneticPr fontId="3" type="noConversion"/>
  </si>
  <si>
    <t>시전자 레벨 비례 회복량</t>
    <phoneticPr fontId="3" type="noConversion"/>
  </si>
  <si>
    <t>적중 시 마나 반환량</t>
    <phoneticPr fontId="3" type="noConversion"/>
  </si>
  <si>
    <t>소환수 지속시간 증가</t>
    <phoneticPr fontId="3" type="noConversion"/>
  </si>
  <si>
    <t>소환수 지속시간 감소</t>
    <phoneticPr fontId="3" type="noConversion"/>
  </si>
  <si>
    <t>마나 태우기(기본)</t>
    <phoneticPr fontId="3" type="noConversion"/>
  </si>
  <si>
    <t>마나 태우기(시전자 레벨 비례)</t>
    <phoneticPr fontId="3" type="noConversion"/>
  </si>
  <si>
    <t>소모 체력(남은 체력의)</t>
    <phoneticPr fontId="3" type="noConversion"/>
  </si>
  <si>
    <t>마나 회복 배율</t>
    <phoneticPr fontId="3" type="noConversion"/>
  </si>
  <si>
    <t>추가 공격 기본확률</t>
    <phoneticPr fontId="3" type="noConversion"/>
  </si>
  <si>
    <t>추가 공격 행운상수</t>
    <phoneticPr fontId="3" type="noConversion"/>
  </si>
  <si>
    <t>최대 사거리 배율</t>
    <phoneticPr fontId="3" type="noConversion"/>
  </si>
  <si>
    <t>돼지 공격력 증가량 배율</t>
    <phoneticPr fontId="3" type="noConversion"/>
  </si>
  <si>
    <t>돼지 공격력 증가량 배율(레벨 당)</t>
    <phoneticPr fontId="3" type="noConversion"/>
  </si>
  <si>
    <t>돼지 잃은 체력 소환자 전이율</t>
    <phoneticPr fontId="3" type="noConversion"/>
  </si>
  <si>
    <t>돼지 잃은 체력 소환자 전이시간</t>
    <phoneticPr fontId="3" type="noConversion"/>
  </si>
  <si>
    <t>돼지 가하는 피해 배율</t>
    <phoneticPr fontId="3" type="noConversion"/>
  </si>
  <si>
    <t>체력 소모량(현재 체력의)</t>
    <phoneticPr fontId="3" type="noConversion"/>
  </si>
  <si>
    <t>이동속도 감소량(매 타격 당)</t>
    <phoneticPr fontId="3" type="noConversion"/>
  </si>
  <si>
    <t>최대 충전량</t>
    <phoneticPr fontId="3" type="noConversion"/>
  </si>
  <si>
    <t>공격 횟수</t>
    <phoneticPr fontId="3" type="noConversion"/>
  </si>
  <si>
    <t>지속피해</t>
    <phoneticPr fontId="3" type="noConversion"/>
  </si>
  <si>
    <t>변신</t>
    <phoneticPr fontId="3" type="noConversion"/>
  </si>
  <si>
    <t>수호자</t>
    <phoneticPr fontId="3" type="noConversion"/>
  </si>
  <si>
    <t>CAST_TYPE</t>
    <phoneticPr fontId="3" type="noConversion"/>
  </si>
  <si>
    <t>TAG1</t>
    <phoneticPr fontId="3" type="noConversion"/>
  </si>
  <si>
    <t>TAG2</t>
    <phoneticPr fontId="3" type="noConversion"/>
  </si>
  <si>
    <t>TAG3</t>
    <phoneticPr fontId="3" type="noConversion"/>
  </si>
  <si>
    <t>TAG4</t>
    <phoneticPr fontId="3" type="noConversion"/>
  </si>
  <si>
    <t>abilitytag</t>
    <phoneticPr fontId="3" type="noConversion"/>
  </si>
  <si>
    <t>BASH</t>
    <phoneticPr fontId="3" type="noConversion"/>
  </si>
  <si>
    <t>LIGHTNING</t>
    <phoneticPr fontId="3" type="noConversion"/>
  </si>
  <si>
    <t>FIREARM</t>
    <phoneticPr fontId="3" type="noConversion"/>
  </si>
  <si>
    <t>FIRE</t>
    <phoneticPr fontId="3" type="noConversion"/>
  </si>
  <si>
    <t>DIVINE</t>
    <phoneticPr fontId="3" type="noConversion"/>
  </si>
  <si>
    <t>SLASH</t>
    <phoneticPr fontId="3" type="noConversion"/>
  </si>
  <si>
    <t>NORMAL</t>
    <phoneticPr fontId="3" type="noConversion"/>
  </si>
  <si>
    <t>BIO</t>
    <phoneticPr fontId="3" type="noConversion"/>
  </si>
  <si>
    <t>THROW</t>
    <phoneticPr fontId="3" type="noConversion"/>
  </si>
  <si>
    <t>NATURE</t>
    <phoneticPr fontId="3" type="noConversion"/>
  </si>
  <si>
    <t>DARK</t>
    <phoneticPr fontId="3" type="noConversion"/>
  </si>
  <si>
    <t>POISON</t>
    <phoneticPr fontId="3" type="noConversion"/>
  </si>
  <si>
    <t>EXPLOSION</t>
    <phoneticPr fontId="3" type="noConversion"/>
  </si>
  <si>
    <t>PIERCE</t>
  </si>
  <si>
    <t>ALLOWNULL</t>
    <phoneticPr fontId="3" type="noConversion"/>
  </si>
  <si>
    <t>casttype</t>
    <phoneticPr fontId="3" type="noConversion"/>
  </si>
  <si>
    <t>TARGET_LOCATION</t>
    <phoneticPr fontId="3" type="noConversion"/>
  </si>
  <si>
    <t>WEAPON</t>
    <phoneticPr fontId="3" type="noConversion"/>
  </si>
  <si>
    <t>TARGET_UNIT</t>
    <phoneticPr fontId="3" type="noConversion"/>
  </si>
  <si>
    <t>IMMEDIATE</t>
    <phoneticPr fontId="3" type="noConversion"/>
  </si>
  <si>
    <t>PASSIVE</t>
    <phoneticPr fontId="3" type="noConversion"/>
  </si>
  <si>
    <t>DRAG_TO_USE</t>
    <phoneticPr fontId="3" type="noConversion"/>
  </si>
  <si>
    <t>TRANSFORM</t>
    <phoneticPr fontId="3" type="noConversion"/>
  </si>
  <si>
    <t>COOLDOWN_MAX</t>
    <phoneticPr fontId="3" type="noConversion"/>
  </si>
  <si>
    <t>COOLDOWN_MIN</t>
    <phoneticPr fontId="3" type="noConversion"/>
  </si>
  <si>
    <t>MANACOST</t>
    <phoneticPr fontId="3" type="noConversion"/>
  </si>
  <si>
    <t>0.0</t>
    <phoneticPr fontId="3" type="noConversion"/>
  </si>
  <si>
    <t>25</t>
    <phoneticPr fontId="3" type="noConversion"/>
  </si>
  <si>
    <t>0.06</t>
    <phoneticPr fontId="3" type="noConversion"/>
  </si>
  <si>
    <t>0.07</t>
    <phoneticPr fontId="3" type="noConversion"/>
  </si>
  <si>
    <t>0.09</t>
    <phoneticPr fontId="3" type="noConversion"/>
  </si>
  <si>
    <t>5.5</t>
    <phoneticPr fontId="3" type="noConversion"/>
  </si>
  <si>
    <t>22</t>
    <phoneticPr fontId="3" type="noConversion"/>
  </si>
  <si>
    <t>5.3</t>
    <phoneticPr fontId="3" type="noConversion"/>
  </si>
  <si>
    <t>35</t>
    <phoneticPr fontId="3" type="noConversion"/>
  </si>
  <si>
    <t>6.7</t>
    <phoneticPr fontId="3" type="noConversion"/>
  </si>
  <si>
    <t>27</t>
    <phoneticPr fontId="3" type="noConversion"/>
  </si>
  <si>
    <t>45</t>
    <phoneticPr fontId="3" type="noConversion"/>
  </si>
  <si>
    <t>12.0</t>
    <phoneticPr fontId="3" type="noConversion"/>
  </si>
  <si>
    <t>38</t>
    <phoneticPr fontId="3" type="noConversion"/>
  </si>
  <si>
    <t>CHINGHO</t>
    <phoneticPr fontId="3" type="noConversion"/>
  </si>
  <si>
    <t>INDIVISUAL</t>
    <phoneticPr fontId="3" type="noConversion"/>
  </si>
  <si>
    <t>공격력 증폭</t>
    <phoneticPr fontId="3" type="noConversion"/>
  </si>
  <si>
    <t>공격력 증폭(레벨 당)</t>
    <phoneticPr fontId="3" type="noConversion"/>
  </si>
  <si>
    <t>PIERCE</t>
    <phoneticPr fontId="3" type="noConversion"/>
  </si>
  <si>
    <t>0.075</t>
    <phoneticPr fontId="3" type="noConversion"/>
  </si>
  <si>
    <t>둔화율</t>
    <phoneticPr fontId="3" type="noConversion"/>
  </si>
  <si>
    <t>전기충격</t>
    <phoneticPr fontId="3" type="noConversion"/>
  </si>
  <si>
    <t>6.5</t>
    <phoneticPr fontId="3" type="noConversion"/>
  </si>
  <si>
    <t>끈적 거미</t>
    <phoneticPr fontId="3" type="noConversion"/>
  </si>
  <si>
    <t>둔화량</t>
    <phoneticPr fontId="3" type="noConversion"/>
  </si>
  <si>
    <t>0.03</t>
    <phoneticPr fontId="3" type="noConversion"/>
  </si>
  <si>
    <t>0.025</t>
    <phoneticPr fontId="3" type="noConversion"/>
  </si>
  <si>
    <t>전투자극제</t>
    <phoneticPr fontId="3" type="noConversion"/>
  </si>
  <si>
    <t>공속증가</t>
    <phoneticPr fontId="3" type="noConversion"/>
  </si>
  <si>
    <t>이속증가</t>
    <phoneticPr fontId="3" type="noConversion"/>
  </si>
  <si>
    <t>0.175</t>
    <phoneticPr fontId="3" type="noConversion"/>
  </si>
  <si>
    <t>투척용 도끼</t>
    <phoneticPr fontId="3" type="noConversion"/>
  </si>
  <si>
    <t>19</t>
    <phoneticPr fontId="3" type="noConversion"/>
  </si>
  <si>
    <t>UNIT_ID1</t>
    <phoneticPr fontId="3" type="noConversion"/>
  </si>
  <si>
    <t>SP06</t>
  </si>
  <si>
    <t>UNIT_ID2</t>
  </si>
  <si>
    <t>UNIT_ID3</t>
  </si>
  <si>
    <t>UNIT_ID4</t>
  </si>
  <si>
    <t>MODEL_PATH</t>
    <phoneticPr fontId="3" type="noConversion"/>
  </si>
  <si>
    <t>INITIAL_ABILITY1</t>
    <phoneticPr fontId="3" type="noConversion"/>
  </si>
  <si>
    <t>INITIAL_ABILITY2</t>
  </si>
  <si>
    <t>HR00</t>
    <phoneticPr fontId="3" type="noConversion"/>
  </si>
  <si>
    <t>HR01</t>
    <phoneticPr fontId="3" type="noConversion"/>
  </si>
  <si>
    <t>HR02</t>
  </si>
  <si>
    <t>HR03</t>
  </si>
  <si>
    <t>HR04</t>
  </si>
  <si>
    <t>HR05</t>
  </si>
  <si>
    <t>HR06</t>
  </si>
  <si>
    <t>HR07</t>
  </si>
  <si>
    <t>HR08</t>
  </si>
  <si>
    <t>HR09</t>
  </si>
  <si>
    <t>HR0a</t>
    <phoneticPr fontId="3" type="noConversion"/>
  </si>
  <si>
    <t>HR0b</t>
    <phoneticPr fontId="3" type="noConversion"/>
  </si>
  <si>
    <t>HR0c</t>
    <phoneticPr fontId="3" type="noConversion"/>
  </si>
  <si>
    <t>HR0d</t>
    <phoneticPr fontId="3" type="noConversion"/>
  </si>
  <si>
    <t>HR0e</t>
    <phoneticPr fontId="3" type="noConversion"/>
  </si>
  <si>
    <t>HR0f</t>
    <phoneticPr fontId="3" type="noConversion"/>
  </si>
  <si>
    <t>SP00</t>
    <phoneticPr fontId="3" type="noConversion"/>
  </si>
  <si>
    <t>SP03</t>
    <phoneticPr fontId="3" type="noConversion"/>
  </si>
  <si>
    <t>전사</t>
    <phoneticPr fontId="3" type="noConversion"/>
  </si>
  <si>
    <t>BTNFootman</t>
    <phoneticPr fontId="3" type="noConversion"/>
  </si>
  <si>
    <t>총잡이</t>
    <phoneticPr fontId="3" type="noConversion"/>
  </si>
  <si>
    <t>BTNRifleMan</t>
    <phoneticPr fontId="3" type="noConversion"/>
  </si>
  <si>
    <t>붉은기사</t>
    <phoneticPr fontId="3" type="noConversion"/>
  </si>
  <si>
    <t>BTNUnit_RedFootman</t>
    <phoneticPr fontId="3" type="noConversion"/>
  </si>
  <si>
    <t>어둠추적자</t>
    <phoneticPr fontId="3" type="noConversion"/>
  </si>
  <si>
    <t>BTNSatyrTrickster</t>
    <phoneticPr fontId="3" type="noConversion"/>
  </si>
  <si>
    <t>흑마법사</t>
    <phoneticPr fontId="3" type="noConversion"/>
  </si>
  <si>
    <t>BTNGuldan</t>
    <phoneticPr fontId="3" type="noConversion"/>
  </si>
  <si>
    <t>해병</t>
    <phoneticPr fontId="3" type="noConversion"/>
  </si>
  <si>
    <t>BTNMarine</t>
    <phoneticPr fontId="3" type="noConversion"/>
  </si>
  <si>
    <t>트롤 광전사</t>
    <phoneticPr fontId="3" type="noConversion"/>
  </si>
  <si>
    <t>BTNForestTrollTrapper</t>
  </si>
  <si>
    <t>자객</t>
    <phoneticPr fontId="3" type="noConversion"/>
  </si>
  <si>
    <t>주술사</t>
    <phoneticPr fontId="3" type="noConversion"/>
  </si>
  <si>
    <t>BTNShaman</t>
  </si>
  <si>
    <t>마술사</t>
    <phoneticPr fontId="3" type="noConversion"/>
  </si>
  <si>
    <t>BTNVillagerMan1</t>
  </si>
  <si>
    <t>BTNBandit</t>
  </si>
  <si>
    <t>불한당</t>
    <phoneticPr fontId="3" type="noConversion"/>
  </si>
  <si>
    <t>BTNSeaWitch</t>
  </si>
  <si>
    <t>바다사냥꾼</t>
    <phoneticPr fontId="3" type="noConversion"/>
  </si>
  <si>
    <t>주문파괴자</t>
    <phoneticPr fontId="3" type="noConversion"/>
  </si>
  <si>
    <t>BTNSpellBreaker</t>
  </si>
  <si>
    <t>BTNPeasant</t>
  </si>
  <si>
    <t>기술자</t>
    <phoneticPr fontId="3" type="noConversion"/>
  </si>
  <si>
    <t>돼지술사</t>
    <phoneticPr fontId="3" type="noConversion"/>
  </si>
  <si>
    <t>BTNRazorback</t>
  </si>
  <si>
    <t>요정용</t>
    <phoneticPr fontId="3" type="noConversion"/>
  </si>
  <si>
    <t>BTNFaerieDragon</t>
  </si>
  <si>
    <t>군마</t>
    <phoneticPr fontId="3" type="noConversion"/>
  </si>
  <si>
    <t>돼지</t>
    <phoneticPr fontId="3" type="noConversion"/>
  </si>
  <si>
    <t>SP04</t>
    <phoneticPr fontId="3" type="noConversion"/>
  </si>
  <si>
    <t>해골 전사</t>
    <phoneticPr fontId="3" type="noConversion"/>
  </si>
  <si>
    <t>SP05</t>
    <phoneticPr fontId="3" type="noConversion"/>
  </si>
  <si>
    <t>정찰탑</t>
    <phoneticPr fontId="3" type="noConversion"/>
  </si>
  <si>
    <t>SP06</t>
    <phoneticPr fontId="3" type="noConversion"/>
  </si>
  <si>
    <t>전기충격기</t>
    <phoneticPr fontId="3" type="noConversion"/>
  </si>
  <si>
    <t>SP07</t>
    <phoneticPr fontId="3" type="noConversion"/>
  </si>
  <si>
    <t>늑대정령</t>
    <phoneticPr fontId="3" type="noConversion"/>
  </si>
  <si>
    <t>SP08</t>
    <phoneticPr fontId="3" type="noConversion"/>
  </si>
  <si>
    <t>고대 코끼리</t>
    <phoneticPr fontId="3" type="noConversion"/>
  </si>
  <si>
    <t>G000</t>
    <phoneticPr fontId="3" type="noConversion"/>
  </si>
  <si>
    <t>BTNArmorGolem</t>
  </si>
  <si>
    <t>G001</t>
    <phoneticPr fontId="3" type="noConversion"/>
  </si>
  <si>
    <t>생명의 나무</t>
    <phoneticPr fontId="3" type="noConversion"/>
  </si>
  <si>
    <t>BTNTreeOfEternity</t>
  </si>
  <si>
    <t>NP00</t>
    <phoneticPr fontId="3" type="noConversion"/>
  </si>
  <si>
    <t>망각술사</t>
    <phoneticPr fontId="3" type="noConversion"/>
  </si>
  <si>
    <t>BTNAcolyte</t>
  </si>
  <si>
    <t>NP01</t>
    <phoneticPr fontId="3" type="noConversion"/>
  </si>
  <si>
    <t>낚시꾼</t>
    <phoneticPr fontId="3" type="noConversion"/>
  </si>
  <si>
    <t>NP02</t>
    <phoneticPr fontId="3" type="noConversion"/>
  </si>
  <si>
    <t>병참장교</t>
    <phoneticPr fontId="3" type="noConversion"/>
  </si>
  <si>
    <t>BTNTheCaptain</t>
  </si>
  <si>
    <t>나무꾼</t>
    <phoneticPr fontId="3" type="noConversion"/>
  </si>
  <si>
    <t>NP03</t>
    <phoneticPr fontId="3" type="noConversion"/>
  </si>
  <si>
    <t>BTNGrunt</t>
  </si>
  <si>
    <t>NP04</t>
    <phoneticPr fontId="3" type="noConversion"/>
  </si>
  <si>
    <t>BTNChaosPeon</t>
  </si>
  <si>
    <t>광부</t>
    <phoneticPr fontId="3" type="noConversion"/>
  </si>
  <si>
    <t>U000</t>
    <phoneticPr fontId="3" type="noConversion"/>
  </si>
  <si>
    <t>구울</t>
    <phoneticPr fontId="3" type="noConversion"/>
  </si>
  <si>
    <t>BTNGhoul</t>
  </si>
  <si>
    <t>U001</t>
    <phoneticPr fontId="3" type="noConversion"/>
  </si>
  <si>
    <t>지하마귀</t>
    <phoneticPr fontId="3" type="noConversion"/>
  </si>
  <si>
    <t>BTNCryptFiend</t>
  </si>
  <si>
    <t>U002</t>
    <phoneticPr fontId="3" type="noConversion"/>
  </si>
  <si>
    <t>가고일</t>
    <phoneticPr fontId="3" type="noConversion"/>
  </si>
  <si>
    <t>BTNGargoyle</t>
  </si>
  <si>
    <t>U003</t>
    <phoneticPr fontId="3" type="noConversion"/>
  </si>
  <si>
    <t>강령술사</t>
    <phoneticPr fontId="3" type="noConversion"/>
  </si>
  <si>
    <t>BTNNecromancer</t>
  </si>
  <si>
    <t>U004</t>
    <phoneticPr fontId="3" type="noConversion"/>
  </si>
  <si>
    <t>살덩이 골렘</t>
    <phoneticPr fontId="3" type="noConversion"/>
  </si>
  <si>
    <t>BTNAbomination</t>
  </si>
  <si>
    <t>unitname</t>
    <phoneticPr fontId="3" type="noConversion"/>
  </si>
  <si>
    <t>modelpath</t>
    <phoneticPr fontId="3" type="noConversion"/>
  </si>
  <si>
    <t>initialability</t>
    <phoneticPr fontId="3" type="noConversion"/>
  </si>
  <si>
    <t>id</t>
    <phoneticPr fontId="3" type="noConversion"/>
  </si>
  <si>
    <t>BUFF_ID1</t>
    <phoneticPr fontId="3" type="noConversion"/>
  </si>
  <si>
    <t>BUFF_ID2</t>
  </si>
  <si>
    <t>BUFF_ID3</t>
  </si>
  <si>
    <t>BUFF_ID4</t>
  </si>
  <si>
    <t>BUFF_DESCRIPTION1</t>
    <phoneticPr fontId="3" type="noConversion"/>
  </si>
  <si>
    <t>BUFF_DESCRIPTION2</t>
    <phoneticPr fontId="3" type="noConversion"/>
  </si>
  <si>
    <t>BUFF_DESCRIPTION3</t>
    <phoneticPr fontId="3" type="noConversion"/>
  </si>
  <si>
    <t>BUFF_DESCRIPTION4</t>
    <phoneticPr fontId="3" type="noConversion"/>
  </si>
  <si>
    <t>추뎀</t>
    <phoneticPr fontId="3" type="noConversion"/>
  </si>
  <si>
    <t>캐스터</t>
    <phoneticPr fontId="3" type="noConversion"/>
  </si>
  <si>
    <t>타겟</t>
    <phoneticPr fontId="3" type="noConversion"/>
  </si>
  <si>
    <t>쉴드</t>
    <phoneticPr fontId="3" type="noConversion"/>
  </si>
  <si>
    <t>강화</t>
    <phoneticPr fontId="3" type="noConversion"/>
  </si>
  <si>
    <t>체력감소</t>
    <phoneticPr fontId="3" type="noConversion"/>
  </si>
  <si>
    <t>체젠,공증</t>
    <phoneticPr fontId="3" type="noConversion"/>
  </si>
  <si>
    <t>용암채찍</t>
    <phoneticPr fontId="3" type="noConversion"/>
  </si>
  <si>
    <t>BTNAbility_LavaSwip</t>
  </si>
  <si>
    <t>달빛 글레이브</t>
    <phoneticPr fontId="3" type="noConversion"/>
  </si>
  <si>
    <t>BTNUpgradeMoonGlaive</t>
  </si>
  <si>
    <t>530.0</t>
    <phoneticPr fontId="3" type="noConversion"/>
  </si>
  <si>
    <t>투창</t>
    <phoneticPr fontId="3" type="noConversion"/>
  </si>
  <si>
    <t>BTNSteelRanged</t>
  </si>
  <si>
    <t>525.0</t>
    <phoneticPr fontId="3" type="noConversion"/>
  </si>
  <si>
    <t>1150.0</t>
    <phoneticPr fontId="3" type="noConversion"/>
  </si>
  <si>
    <t>5.25</t>
    <phoneticPr fontId="3" type="noConversion"/>
  </si>
  <si>
    <t>DAMAGE_ID</t>
    <phoneticPr fontId="3" type="noConversion"/>
  </si>
  <si>
    <t>대상체젠비례</t>
    <phoneticPr fontId="3" type="noConversion"/>
  </si>
  <si>
    <t>TAG2</t>
  </si>
  <si>
    <t>TAG3</t>
  </si>
  <si>
    <t>TAG4</t>
  </si>
  <si>
    <t>USE_DAMAGE_TAG</t>
    <phoneticPr fontId="3" type="noConversion"/>
  </si>
  <si>
    <t>1.65</t>
    <phoneticPr fontId="3" type="noConversion"/>
  </si>
  <si>
    <t>30</t>
    <phoneticPr fontId="3" type="noConversion"/>
  </si>
  <si>
    <t>회심의 일격(추뎀)</t>
    <phoneticPr fontId="3" type="noConversion"/>
  </si>
  <si>
    <t>회심의 일격(감속)</t>
    <phoneticPr fontId="3" type="noConversion"/>
  </si>
  <si>
    <t>1.75</t>
    <phoneticPr fontId="3" type="noConversion"/>
  </si>
  <si>
    <t>POSITIVE</t>
    <phoneticPr fontId="3" type="noConversion"/>
  </si>
  <si>
    <t>자연의 결속(타겟)</t>
    <phoneticPr fontId="3" type="noConversion"/>
  </si>
  <si>
    <t>0.027</t>
    <phoneticPr fontId="3" type="noConversion"/>
  </si>
  <si>
    <t>0.022</t>
    <phoneticPr fontId="3" type="noConversion"/>
  </si>
  <si>
    <t>자연의 결속(캐스터)</t>
    <phoneticPr fontId="3" type="noConversion"/>
  </si>
  <si>
    <t>공속증가(기본)</t>
    <phoneticPr fontId="3" type="noConversion"/>
  </si>
  <si>
    <t>공속증가(레벨당)</t>
    <phoneticPr fontId="3" type="noConversion"/>
  </si>
  <si>
    <t>60</t>
    <phoneticPr fontId="3" type="noConversion"/>
  </si>
  <si>
    <t>마나소모,마나회복</t>
    <phoneticPr fontId="3" type="noConversion"/>
  </si>
  <si>
    <t>0.225</t>
    <phoneticPr fontId="3" type="noConversion"/>
  </si>
  <si>
    <t>고대코끼리의 상</t>
    <phoneticPr fontId="3" type="noConversion"/>
  </si>
  <si>
    <t>최대체력증가</t>
    <phoneticPr fontId="3" type="noConversion"/>
  </si>
  <si>
    <t>마나소모</t>
    <phoneticPr fontId="3" type="noConversion"/>
  </si>
  <si>
    <t>0.0175</t>
  </si>
  <si>
    <t>공속보너스</t>
    <phoneticPr fontId="3" type="noConversion"/>
  </si>
  <si>
    <t>체력비용</t>
    <phoneticPr fontId="3" type="noConversion"/>
  </si>
  <si>
    <t>체력비율하한</t>
    <phoneticPr fontId="3" type="noConversion"/>
  </si>
  <si>
    <t>치감</t>
    <phoneticPr fontId="3" type="noConversion"/>
  </si>
  <si>
    <t>이속감소</t>
    <phoneticPr fontId="3" type="noConversion"/>
  </si>
  <si>
    <t>전격구체</t>
    <phoneticPr fontId="3" type="noConversion"/>
  </si>
  <si>
    <t>감속량</t>
    <phoneticPr fontId="3" type="noConversion"/>
  </si>
  <si>
    <t>감속간격</t>
    <phoneticPr fontId="3" type="noConversion"/>
  </si>
  <si>
    <t>주는 피해</t>
    <phoneticPr fontId="3" type="noConversion"/>
  </si>
  <si>
    <t>분신생성확률</t>
    <phoneticPr fontId="3" type="noConversion"/>
  </si>
  <si>
    <t>(확률상수)</t>
    <phoneticPr fontId="3" type="noConversion"/>
  </si>
  <si>
    <t>가하는 피해</t>
    <phoneticPr fontId="3" type="noConversion"/>
  </si>
  <si>
    <t>50</t>
    <phoneticPr fontId="3" type="noConversion"/>
  </si>
  <si>
    <t>26</t>
    <phoneticPr fontId="3" type="noConversion"/>
  </si>
  <si>
    <t>USE_DAMAGE_FLAG</t>
    <phoneticPr fontId="3" type="noConversion"/>
  </si>
  <si>
    <t>DAMAGE_TYPE</t>
    <phoneticPr fontId="3" type="noConversion"/>
  </si>
  <si>
    <t>ATTACK_TYPE</t>
    <phoneticPr fontId="3" type="noConversion"/>
  </si>
  <si>
    <t>INTERVAL_TYPE</t>
    <phoneticPr fontId="3" type="noConversion"/>
  </si>
  <si>
    <t>VECTOR_TYPE</t>
    <phoneticPr fontId="3" type="noConversion"/>
  </si>
  <si>
    <t>TARGET_TYPE</t>
    <phoneticPr fontId="3" type="noConversion"/>
  </si>
  <si>
    <t>AOE_TYPE</t>
    <phoneticPr fontId="3" type="noConversion"/>
  </si>
  <si>
    <t>ONHIT_TYPE</t>
    <phoneticPr fontId="3" type="noConversion"/>
  </si>
  <si>
    <t>RANGE_TYPE</t>
    <phoneticPr fontId="3" type="noConversion"/>
  </si>
  <si>
    <t>온힛 필요타수</t>
    <phoneticPr fontId="3" type="noConversion"/>
  </si>
  <si>
    <t>피해량 당 회복</t>
    <phoneticPr fontId="3" type="noConversion"/>
  </si>
  <si>
    <t>풀스택일때회복량</t>
    <phoneticPr fontId="3" type="noConversion"/>
  </si>
  <si>
    <t>맥뎀거리</t>
    <phoneticPr fontId="3" type="noConversion"/>
  </si>
  <si>
    <t>1.57</t>
    <phoneticPr fontId="3" type="noConversion"/>
  </si>
  <si>
    <t>110</t>
    <phoneticPr fontId="3" type="noConversion"/>
  </si>
  <si>
    <t>탑승시 이속증가</t>
    <phoneticPr fontId="3" type="noConversion"/>
  </si>
  <si>
    <t>SERVANT</t>
    <phoneticPr fontId="3" type="noConversion"/>
  </si>
  <si>
    <t>SUMMON</t>
    <phoneticPr fontId="3" type="noConversion"/>
  </si>
  <si>
    <t>3.3</t>
    <phoneticPr fontId="3" type="noConversion"/>
  </si>
  <si>
    <t>31</t>
    <phoneticPr fontId="3" type="noConversion"/>
  </si>
  <si>
    <t>55</t>
    <phoneticPr fontId="3" type="noConversion"/>
  </si>
  <si>
    <t>85</t>
    <phoneticPr fontId="3" type="noConversion"/>
  </si>
  <si>
    <t>125</t>
    <phoneticPr fontId="3" type="noConversion"/>
  </si>
  <si>
    <t>TOOLTIP</t>
    <phoneticPr fontId="3" type="noConversion"/>
  </si>
  <si>
    <t>도내 SSR급 굳건이</t>
    <phoneticPr fontId="3" type="noConversion"/>
  </si>
  <si>
    <t>칼 든 사람보다 무서운 총 든 사람</t>
    <phoneticPr fontId="3" type="noConversion"/>
  </si>
  <si>
    <t>몽둥이가 압권인 전사</t>
    <phoneticPr fontId="3" type="noConversion"/>
  </si>
  <si>
    <t>현실세계에선 스토커였던 내가 이세계에서는 0티어 도적?</t>
    <phoneticPr fontId="3" type="noConversion"/>
  </si>
  <si>
    <t>정말로 강한 마법사이다. 왜 강한지는…</t>
    <phoneticPr fontId="3" type="noConversion"/>
  </si>
  <si>
    <t>전우애로 똘똘 뭉친 사람</t>
    <phoneticPr fontId="3" type="noConversion"/>
  </si>
  <si>
    <t>벼르고 있는 사람들이 많다. 잡히면 어떻게 될까?</t>
    <phoneticPr fontId="3" type="noConversion"/>
  </si>
  <si>
    <t>현실에선 주술이라고는 인디안식 기우제밖에 몰랐지만 여기선 다르다.</t>
    <phoneticPr fontId="3" type="noConversion"/>
  </si>
  <si>
    <t>마법이 소용없다고 주장하는 사람</t>
    <phoneticPr fontId="3" type="noConversion"/>
  </si>
  <si>
    <t>해녀라고 부르면 화를 낸다.</t>
    <phoneticPr fontId="3" type="noConversion"/>
  </si>
  <si>
    <t>대지마법을 사용할 수 있다는 오해를 자주 산다.</t>
    <phoneticPr fontId="3" type="noConversion"/>
  </si>
  <si>
    <t>뀨</t>
    <phoneticPr fontId="3" type="noConversion"/>
  </si>
  <si>
    <t>탑승감 좋은 군마</t>
    <phoneticPr fontId="3" type="noConversion"/>
  </si>
  <si>
    <t>꾸이이익</t>
    <phoneticPr fontId="3" type="noConversion"/>
  </si>
  <si>
    <t>지성도 없고 고통도 모르니 가장 무서운 존재가 아닐까?</t>
    <phoneticPr fontId="3" type="noConversion"/>
  </si>
  <si>
    <t>지상 최강의 막노동꾼</t>
    <phoneticPr fontId="3" type="noConversion"/>
  </si>
  <si>
    <t>튼튼한 정찰탑</t>
    <phoneticPr fontId="3" type="noConversion"/>
  </si>
  <si>
    <t>이세계에서도 범죄자 소탕에 많이 활용되는 기구</t>
    <phoneticPr fontId="3" type="noConversion"/>
  </si>
  <si>
    <t>늑대의 형상을 한 정령</t>
    <phoneticPr fontId="3" type="noConversion"/>
  </si>
  <si>
    <t>싫어하는 학교는 연세대학교</t>
    <phoneticPr fontId="3" type="noConversion"/>
  </si>
  <si>
    <t>무슨 설명을 적어놓으려고 했더라?</t>
    <phoneticPr fontId="3" type="noConversion"/>
  </si>
  <si>
    <t>물고기 잡는 법 보다 더 중요한 것은 낚시대를 만드는 법</t>
    <phoneticPr fontId="3" type="noConversion"/>
  </si>
  <si>
    <t>트롤인데다 광전사이다.</t>
    <phoneticPr fontId="3" type="noConversion"/>
  </si>
  <si>
    <t>[카드값]이 많이 나오는 사람</t>
    <phoneticPr fontId="3" type="noConversion"/>
  </si>
  <si>
    <t>물하기싫으니불한당</t>
    <phoneticPr fontId="3" type="noConversion"/>
  </si>
  <si>
    <t>BTNHeadhunter</t>
    <phoneticPr fontId="3" type="noConversion"/>
  </si>
  <si>
    <t>BTNMGExchange</t>
  </si>
  <si>
    <t>300.0</t>
    <phoneticPr fontId="3" type="noConversion"/>
  </si>
  <si>
    <t>골드획득확률(기본)</t>
    <phoneticPr fontId="3" type="noConversion"/>
  </si>
  <si>
    <t>행운상수</t>
    <phoneticPr fontId="3" type="noConversion"/>
  </si>
  <si>
    <t>골드획득량</t>
    <phoneticPr fontId="3" type="noConversion"/>
  </si>
  <si>
    <t>1375.0</t>
    <phoneticPr fontId="3" type="noConversion"/>
  </si>
  <si>
    <t>45.0</t>
    <phoneticPr fontId="3" type="noConversion"/>
  </si>
  <si>
    <t>WILD</t>
    <phoneticPr fontId="3" type="noConversion"/>
  </si>
  <si>
    <t>보강</t>
    <phoneticPr fontId="3" type="noConversion"/>
  </si>
  <si>
    <t>BTNAdvStruct</t>
  </si>
  <si>
    <t>방마저 증가</t>
    <phoneticPr fontId="3" type="noConversion"/>
  </si>
  <si>
    <t>BTNAdvStruct</t>
    <phoneticPr fontId="3" type="noConversion"/>
  </si>
  <si>
    <t>SP09</t>
    <phoneticPr fontId="3" type="noConversion"/>
  </si>
  <si>
    <t>마법 금고</t>
    <phoneticPr fontId="3" type="noConversion"/>
  </si>
  <si>
    <t>귀엽고 든든한 마법 금고</t>
    <phoneticPr fontId="3" type="noConversion"/>
  </si>
  <si>
    <t>BTNMagicVault</t>
    <phoneticPr fontId="3" type="noConversion"/>
  </si>
  <si>
    <t>행운의 금화</t>
    <phoneticPr fontId="3" type="noConversion"/>
  </si>
  <si>
    <t>WIND</t>
    <phoneticPr fontId="3" type="noConversion"/>
  </si>
  <si>
    <t>DAMAGE_SECONDARY</t>
    <phoneticPr fontId="3" type="noConversion"/>
  </si>
  <si>
    <t>RESULT</t>
    <phoneticPr fontId="3" type="noConversion"/>
  </si>
  <si>
    <t>ID1</t>
    <phoneticPr fontId="3" type="noConversion"/>
  </si>
  <si>
    <t>ID2</t>
    <phoneticPr fontId="3" type="noConversion"/>
  </si>
  <si>
    <t>NAME1</t>
    <phoneticPr fontId="3" type="noConversion"/>
  </si>
  <si>
    <t>NAME2</t>
    <phoneticPr fontId="3" type="noConversion"/>
  </si>
  <si>
    <t>ignore</t>
    <phoneticPr fontId="3" type="noConversion"/>
  </si>
  <si>
    <t>TARGET_LOCATION</t>
  </si>
  <si>
    <t>BASH</t>
  </si>
  <si>
    <t>9.0</t>
  </si>
  <si>
    <t>1200.0</t>
  </si>
  <si>
    <t>false</t>
  </si>
  <si>
    <t>true</t>
  </si>
  <si>
    <t>돌진 v2</t>
    <phoneticPr fontId="3" type="noConversion"/>
  </si>
  <si>
    <t>조잡한 검</t>
    <phoneticPr fontId="3" type="noConversion"/>
  </si>
  <si>
    <t>곤봉</t>
    <phoneticPr fontId="3" type="noConversion"/>
  </si>
  <si>
    <t>0.015</t>
    <phoneticPr fontId="3" type="noConversion"/>
  </si>
  <si>
    <t>BTNAbility_Mace_10</t>
    <phoneticPr fontId="3" type="noConversion"/>
  </si>
  <si>
    <t>에메랄드</t>
    <phoneticPr fontId="3" type="noConversion"/>
  </si>
  <si>
    <t>BTNGem</t>
    <phoneticPr fontId="3" type="noConversion"/>
  </si>
  <si>
    <t>BTNAbility_ShortBlade_10</t>
  </si>
  <si>
    <t>단검</t>
    <phoneticPr fontId="3" type="noConversion"/>
  </si>
  <si>
    <t>감속</t>
  </si>
  <si>
    <t>착취의 보옥</t>
  </si>
  <si>
    <t>전격 구체</t>
  </si>
  <si>
    <t>바람 칼날</t>
  </si>
  <si>
    <t>강철 군마</t>
  </si>
  <si>
    <t>갈고리 던지기</t>
  </si>
  <si>
    <t>용암채찍</t>
  </si>
  <si>
    <t>불사조</t>
  </si>
  <si>
    <t>종막: 이스보셋</t>
  </si>
  <si>
    <t>조잡한 검</t>
  </si>
  <si>
    <t>칼날바람</t>
  </si>
  <si>
    <t>곤봉</t>
  </si>
  <si>
    <t>번개 발톱</t>
  </si>
  <si>
    <t>방패 밀어치기</t>
  </si>
  <si>
    <t>돌진 v2</t>
  </si>
  <si>
    <t>짓밟기</t>
  </si>
  <si>
    <t>사냥꾼의 장궁</t>
  </si>
  <si>
    <t>전기충격</t>
  </si>
  <si>
    <t>행운의 금화</t>
  </si>
  <si>
    <t>뛰어들기</t>
  </si>
  <si>
    <t>끈적거미</t>
  </si>
  <si>
    <t>치고 빠지기</t>
  </si>
  <si>
    <t>암흑의 마법봉</t>
  </si>
  <si>
    <t>오염된 식칼</t>
  </si>
  <si>
    <t>보강</t>
  </si>
  <si>
    <t>투창</t>
  </si>
  <si>
    <t>광란</t>
  </si>
  <si>
    <t>산성 거미줄</t>
  </si>
  <si>
    <t>그림자 화살</t>
  </si>
  <si>
    <t>해골 전사 소환</t>
  </si>
  <si>
    <t>부패가스</t>
  </si>
  <si>
    <t>10u0</t>
    <phoneticPr fontId="3" type="noConversion"/>
  </si>
  <si>
    <t>10v0</t>
    <phoneticPr fontId="3" type="noConversion"/>
  </si>
  <si>
    <t>10w0</t>
    <phoneticPr fontId="3" type="noConversion"/>
  </si>
  <si>
    <t>10x0</t>
    <phoneticPr fontId="3" type="noConversion"/>
  </si>
  <si>
    <t>10y0</t>
    <phoneticPr fontId="3" type="noConversion"/>
  </si>
  <si>
    <t>10a0</t>
  </si>
  <si>
    <t>10b0</t>
  </si>
  <si>
    <t>10c0</t>
  </si>
  <si>
    <t>10d0</t>
  </si>
  <si>
    <t>10f0</t>
  </si>
  <si>
    <t>10e0</t>
    <phoneticPr fontId="3" type="noConversion"/>
  </si>
  <si>
    <t>10g0</t>
  </si>
  <si>
    <t>10h0</t>
  </si>
  <si>
    <t>10i0</t>
  </si>
  <si>
    <t>10j0</t>
  </si>
  <si>
    <t>10k0</t>
  </si>
  <si>
    <t>10l0</t>
  </si>
  <si>
    <t>10m0</t>
  </si>
  <si>
    <t>10n0</t>
  </si>
  <si>
    <t>10o0</t>
  </si>
  <si>
    <t>10p0</t>
  </si>
  <si>
    <t>10q0</t>
  </si>
  <si>
    <t>10r0</t>
  </si>
  <si>
    <t>10s0</t>
  </si>
  <si>
    <t>10t0</t>
  </si>
  <si>
    <t>20o0</t>
    <phoneticPr fontId="3" type="noConversion"/>
  </si>
  <si>
    <t>20p0</t>
    <phoneticPr fontId="3" type="noConversion"/>
  </si>
  <si>
    <t>20q0</t>
    <phoneticPr fontId="3" type="noConversion"/>
  </si>
  <si>
    <t>20r0</t>
    <phoneticPr fontId="3" type="noConversion"/>
  </si>
  <si>
    <t>20s0</t>
    <phoneticPr fontId="3" type="noConversion"/>
  </si>
  <si>
    <t>20a0</t>
  </si>
  <si>
    <t>20b0</t>
  </si>
  <si>
    <t>20c0</t>
  </si>
  <si>
    <t>20d0</t>
  </si>
  <si>
    <t>20f0</t>
  </si>
  <si>
    <t>20g0</t>
  </si>
  <si>
    <t>20h0</t>
  </si>
  <si>
    <t>20i0</t>
  </si>
  <si>
    <t>20j0</t>
  </si>
  <si>
    <t>20k0</t>
  </si>
  <si>
    <t>20l0</t>
  </si>
  <si>
    <t>20m0</t>
  </si>
  <si>
    <t>20n0</t>
  </si>
  <si>
    <t>20e0</t>
    <phoneticPr fontId="3" type="noConversion"/>
  </si>
  <si>
    <t>3000</t>
    <phoneticPr fontId="3" type="noConversion"/>
  </si>
  <si>
    <t>3010</t>
    <phoneticPr fontId="3" type="noConversion"/>
  </si>
  <si>
    <t>3020</t>
    <phoneticPr fontId="3" type="noConversion"/>
  </si>
  <si>
    <t>3030</t>
    <phoneticPr fontId="3" type="noConversion"/>
  </si>
  <si>
    <t>3040</t>
    <phoneticPr fontId="3" type="noConversion"/>
  </si>
  <si>
    <t>3050</t>
    <phoneticPr fontId="3" type="noConversion"/>
  </si>
  <si>
    <t>3060</t>
    <phoneticPr fontId="3" type="noConversion"/>
  </si>
  <si>
    <t>3070</t>
    <phoneticPr fontId="3" type="noConversion"/>
  </si>
  <si>
    <t>4000</t>
    <phoneticPr fontId="3" type="noConversion"/>
  </si>
  <si>
    <t>4010</t>
    <phoneticPr fontId="3" type="noConversion"/>
  </si>
  <si>
    <t>5000</t>
    <phoneticPr fontId="3" type="noConversion"/>
  </si>
  <si>
    <t>5010</t>
    <phoneticPr fontId="3" type="noConversion"/>
  </si>
  <si>
    <t>10d0</t>
    <phoneticPr fontId="3" type="noConversion"/>
  </si>
  <si>
    <t>10g0</t>
    <phoneticPr fontId="3" type="noConversion"/>
  </si>
  <si>
    <t>2000</t>
    <phoneticPr fontId="3" type="noConversion"/>
  </si>
  <si>
    <t>2070</t>
    <phoneticPr fontId="3" type="noConversion"/>
  </si>
  <si>
    <t>20b0</t>
    <phoneticPr fontId="3" type="noConversion"/>
  </si>
  <si>
    <t>20c0</t>
    <phoneticPr fontId="3" type="noConversion"/>
  </si>
  <si>
    <t>20d0</t>
    <phoneticPr fontId="3" type="noConversion"/>
  </si>
  <si>
    <t>20d1</t>
    <phoneticPr fontId="3" type="noConversion"/>
  </si>
  <si>
    <t>20g0</t>
    <phoneticPr fontId="3" type="noConversion"/>
  </si>
  <si>
    <t>20h0</t>
    <phoneticPr fontId="3" type="noConversion"/>
  </si>
  <si>
    <t>20h1</t>
    <phoneticPr fontId="3" type="noConversion"/>
  </si>
  <si>
    <t>20j0</t>
    <phoneticPr fontId="3" type="noConversion"/>
  </si>
  <si>
    <t>20k0</t>
    <phoneticPr fontId="3" type="noConversion"/>
  </si>
  <si>
    <t>20n0</t>
    <phoneticPr fontId="3" type="noConversion"/>
  </si>
  <si>
    <t>2071</t>
    <phoneticPr fontId="3" type="noConversion"/>
  </si>
  <si>
    <t>20c1</t>
    <phoneticPr fontId="3" type="noConversion"/>
  </si>
  <si>
    <t>g000</t>
    <phoneticPr fontId="3" type="noConversion"/>
  </si>
  <si>
    <t>포만감</t>
    <phoneticPr fontId="3" type="noConversion"/>
  </si>
  <si>
    <t>g001</t>
    <phoneticPr fontId="3" type="noConversion"/>
  </si>
  <si>
    <t>포션중독</t>
    <phoneticPr fontId="3" type="noConversion"/>
  </si>
  <si>
    <t>10z0</t>
    <phoneticPr fontId="3" type="noConversion"/>
  </si>
  <si>
    <t>맑은 물</t>
    <phoneticPr fontId="3" type="noConversion"/>
  </si>
  <si>
    <t>마나회복</t>
    <phoneticPr fontId="3" type="noConversion"/>
  </si>
  <si>
    <t>10A0</t>
    <phoneticPr fontId="3" type="noConversion"/>
  </si>
  <si>
    <t>FOOD</t>
    <phoneticPr fontId="3" type="noConversion"/>
  </si>
  <si>
    <t>빵</t>
    <phoneticPr fontId="3" type="noConversion"/>
  </si>
  <si>
    <t>체력회복</t>
    <phoneticPr fontId="3" type="noConversion"/>
  </si>
  <si>
    <t>BTNAbility_Water0</t>
    <phoneticPr fontId="3" type="noConversion"/>
  </si>
  <si>
    <t>BTNAbility_Pan0</t>
    <phoneticPr fontId="3" type="noConversion"/>
  </si>
  <si>
    <t>DISPLAY</t>
    <phoneticPr fontId="3" type="noConversion"/>
  </si>
  <si>
    <t>포만감지속</t>
    <phoneticPr fontId="3" type="noConversion"/>
  </si>
  <si>
    <t>20.0</t>
    <phoneticPr fontId="3" type="noConversion"/>
  </si>
  <si>
    <t>+</t>
    <phoneticPr fontId="3" type="noConversion"/>
  </si>
  <si>
    <t>순보 v2</t>
    <phoneticPr fontId="3" type="noConversion"/>
  </si>
  <si>
    <t>SLASH</t>
  </si>
  <si>
    <t>6.0</t>
  </si>
  <si>
    <t>45</t>
  </si>
  <si>
    <t>500.0</t>
  </si>
  <si>
    <t>적중 시 마나 반환량</t>
  </si>
  <si>
    <t>3080</t>
    <phoneticPr fontId="3" type="noConversion"/>
  </si>
  <si>
    <t>26.0</t>
    <phoneticPr fontId="3" type="noConversion"/>
  </si>
  <si>
    <t>3081</t>
    <phoneticPr fontId="3" type="noConversion"/>
  </si>
  <si>
    <t>추가타</t>
    <phoneticPr fontId="3" type="noConversion"/>
  </si>
  <si>
    <t>B000</t>
    <phoneticPr fontId="3" type="noConversion"/>
  </si>
  <si>
    <t>대지령</t>
    <phoneticPr fontId="3" type="noConversion"/>
  </si>
  <si>
    <t>기계난동꾼</t>
    <phoneticPr fontId="3" type="noConversion"/>
  </si>
  <si>
    <t>B001</t>
    <phoneticPr fontId="3" type="noConversion"/>
  </si>
  <si>
    <t>BTNRockGolem</t>
  </si>
  <si>
    <t>BTNROBOGOBLIN</t>
  </si>
  <si>
    <t>10B0</t>
    <phoneticPr fontId="3" type="noConversion"/>
  </si>
  <si>
    <t>행운의 은관</t>
    <phoneticPr fontId="3" type="noConversion"/>
  </si>
  <si>
    <t>BTNCirclet</t>
  </si>
  <si>
    <t>적립한도(기본)</t>
    <phoneticPr fontId="3" type="noConversion"/>
  </si>
  <si>
    <t>적립한도(레벨당)</t>
    <phoneticPr fontId="3" type="noConversion"/>
  </si>
  <si>
    <t>10C0</t>
    <phoneticPr fontId="3" type="noConversion"/>
  </si>
  <si>
    <t>BTNGatherGold</t>
  </si>
  <si>
    <t>곡괭이</t>
    <phoneticPr fontId="3" type="noConversion"/>
  </si>
  <si>
    <t>desc</t>
    <phoneticPr fontId="3" type="noConversion"/>
  </si>
  <si>
    <t>ABILITY1</t>
    <phoneticPr fontId="3" type="noConversion"/>
  </si>
  <si>
    <t>ABILITY2</t>
    <phoneticPr fontId="3" type="noConversion"/>
  </si>
  <si>
    <t>ability</t>
    <phoneticPr fontId="3" type="noConversion"/>
  </si>
  <si>
    <t>ABILITY3</t>
    <phoneticPr fontId="3" type="noConversion"/>
  </si>
  <si>
    <t>ABILITY4</t>
    <phoneticPr fontId="3" type="noConversion"/>
  </si>
  <si>
    <t>ABILITY5</t>
    <phoneticPr fontId="3" type="noConversion"/>
  </si>
  <si>
    <t>ABILITY6</t>
    <phoneticPr fontId="3" type="noConversion"/>
  </si>
  <si>
    <t>ABILITY7</t>
    <phoneticPr fontId="3" type="noConversion"/>
  </si>
  <si>
    <t>ABILITY8</t>
    <phoneticPr fontId="3" type="noConversion"/>
  </si>
  <si>
    <t>쌍극의 번개</t>
  </si>
  <si>
    <t>구식 저격총</t>
  </si>
  <si>
    <t>화염구</t>
  </si>
  <si>
    <t>연쇄번개</t>
  </si>
  <si>
    <t>신성의 빛</t>
  </si>
  <si>
    <t>점멸</t>
  </si>
  <si>
    <t>순보</t>
  </si>
  <si>
    <t>다중사격</t>
  </si>
  <si>
    <t>뾰족한 가시</t>
  </si>
  <si>
    <t>사기의 외침</t>
  </si>
  <si>
    <t>박치기</t>
  </si>
  <si>
    <t>역류의 칼날</t>
  </si>
  <si>
    <t>그물 던지기</t>
  </si>
  <si>
    <t>투척용 도끼</t>
  </si>
  <si>
    <t>가우스 라이플</t>
  </si>
  <si>
    <t>청록의 파동</t>
  </si>
  <si>
    <t>전기충격기 건설</t>
  </si>
  <si>
    <t>돌진</t>
  </si>
  <si>
    <t>단검</t>
  </si>
  <si>
    <t>힘의 장갑</t>
  </si>
  <si>
    <t>날카로운 갈고리</t>
  </si>
  <si>
    <t>에메랄드</t>
  </si>
  <si>
    <t>맑은 물</t>
  </si>
  <si>
    <t>빵</t>
  </si>
  <si>
    <t>행운의 은관</t>
  </si>
  <si>
    <t>곡괭이</t>
  </si>
  <si>
    <t>20e0</t>
  </si>
  <si>
    <t>도약강타</t>
  </si>
  <si>
    <t/>
  </si>
  <si>
    <t>도내 SSR급 굳건이</t>
  </si>
  <si>
    <t>HR0g</t>
    <phoneticPr fontId="3" type="noConversion"/>
  </si>
  <si>
    <t>성기사</t>
    <phoneticPr fontId="3" type="noConversion"/>
  </si>
  <si>
    <t>ENUM_STAT_DEFENSE</t>
  </si>
  <si>
    <t>ENUM_STAT_MAGICPOWER</t>
  </si>
  <si>
    <t>ENUM_STAT_ATTACK</t>
  </si>
  <si>
    <t>ENUM_STAT_MAXHP</t>
  </si>
  <si>
    <t>ENUM_STAT_ACCURACY</t>
  </si>
  <si>
    <t>ENUM_STAT_LUCK</t>
  </si>
  <si>
    <t>ENUM_STAT_HPREGEN</t>
  </si>
  <si>
    <t>ENUM_STAT_ATTACK_SPEED</t>
  </si>
  <si>
    <t>ENUM_STAT_MAXMP</t>
  </si>
  <si>
    <t>ENUM_STAT_UNIT_LEVEL</t>
  </si>
  <si>
    <t>ENUM_STAT_EVASION</t>
  </si>
  <si>
    <t>ENUM_STAT_RESISTANCE</t>
  </si>
  <si>
    <t>ENUM_STAT_RODONG</t>
  </si>
  <si>
    <t>ENUM_STAT_SPELL_BOOST</t>
  </si>
  <si>
    <t>ENUM_STAT_ARMOR_PENET</t>
  </si>
  <si>
    <t>ENUM_STAT_MAGIC_PENET</t>
  </si>
  <si>
    <t>ENUM_STAT_GREED</t>
  </si>
  <si>
    <t>ENUM_STAT_MPREGEN</t>
  </si>
  <si>
    <t>ENUM_STAT_LOVE</t>
  </si>
  <si>
    <t>ENUM_DAMAGE_PHYSICAL</t>
  </si>
  <si>
    <t>ENUM_DAMAGE_MAGICAL</t>
  </si>
  <si>
    <t>ENUM_DAMAGE_UNDEFINED</t>
  </si>
  <si>
    <t>ENUM_DAMAGE_SPELL</t>
  </si>
  <si>
    <t>ENUM_DAMAGE_BASIC</t>
  </si>
  <si>
    <t>ENUM_DAMAGE_ETC</t>
  </si>
  <si>
    <t>ENUM_DAMAGE_SINGLE</t>
  </si>
  <si>
    <t>ENUM_DAMAGE_PERIODIC</t>
  </si>
  <si>
    <t>ENUM_DAMAGE_OUTTER</t>
  </si>
  <si>
    <t>ENUM_DAMAGE_INNER</t>
  </si>
  <si>
    <t>ENUM_DAMAGE_NONTARGET</t>
  </si>
  <si>
    <t>ENUM_DAMAGE_TARGET</t>
  </si>
  <si>
    <t>ENUM_DAMAGE_AOE</t>
  </si>
  <si>
    <t>ENUM_DAMAGE_NONAOE</t>
  </si>
  <si>
    <t>ENUM_DAMAGE_ONHIT</t>
  </si>
  <si>
    <t>ENUM_DAMAGE_NONHIT</t>
  </si>
  <si>
    <t>ENUM_DAMAGE_MELEE</t>
  </si>
  <si>
    <t>ENUM_DAMAGE_RANGED</t>
  </si>
  <si>
    <t>DAMAGE_STAT3</t>
    <phoneticPr fontId="3" type="noConversion"/>
  </si>
  <si>
    <t>DAMAGE_STAT4</t>
    <phoneticPr fontId="3" type="noConversion"/>
  </si>
  <si>
    <t>DAMAGE_BASE</t>
    <phoneticPr fontId="3" type="noConversion"/>
  </si>
  <si>
    <t>DAMAGE_PRIMARY</t>
    <phoneticPr fontId="3" type="noConversion"/>
  </si>
  <si>
    <t>DAMAGE_PER_LEVEL</t>
    <phoneticPr fontId="3" type="noConversion"/>
  </si>
  <si>
    <t>DAMAGE_AMPLIFIER3</t>
    <phoneticPr fontId="3" type="noConversion"/>
  </si>
  <si>
    <t>DAMAGE_AMPLIFIER4</t>
    <phoneticPr fontId="3" type="noConversion"/>
  </si>
  <si>
    <t>DAMAGE_AMPLIFIER2</t>
    <phoneticPr fontId="3" type="noConversion"/>
  </si>
  <si>
    <t>CONFIG_MINIMAP_INSET</t>
  </si>
  <si>
    <t>CONFIG_MINIMAP_SIZE</t>
  </si>
  <si>
    <t>CONFIG_MINIMAP_OFFSET_Y</t>
  </si>
  <si>
    <t>CONFIG_MINIMAP_OFFSET_X</t>
  </si>
  <si>
    <t>팝업</t>
    <phoneticPr fontId="11" type="noConversion"/>
  </si>
  <si>
    <t>CONFIG_FRAME_LEVEL_POPUP</t>
  </si>
  <si>
    <t>툴팁(어빌리티)</t>
    <phoneticPr fontId="11" type="noConversion"/>
  </si>
  <si>
    <t>CONFIG_FRAME_LEVEL_TOOLTIP</t>
  </si>
  <si>
    <t>미니맵</t>
    <phoneticPr fontId="11" type="noConversion"/>
  </si>
  <si>
    <t>CONFIG_FRAME_LEVEL_MINIMAP</t>
  </si>
  <si>
    <t>캐스트바</t>
    <phoneticPr fontId="11" type="noConversion"/>
  </si>
  <si>
    <t>CONFIG_FRAME_LEVEL_CASTBAR</t>
  </si>
  <si>
    <t>창(단축키, 인벤 등)</t>
    <phoneticPr fontId="11" type="noConversion"/>
  </si>
  <si>
    <t>CONFIG_FRAME_LEVEL_WINDOW</t>
  </si>
  <si>
    <t>기본프레임</t>
    <phoneticPr fontId="11" type="noConversion"/>
  </si>
  <si>
    <t>CONFIG_FRAME_LEVEL_BASIC</t>
  </si>
  <si>
    <t>프레임 뎁스 최대값(똑부러지게 정한 값이 아니고 널널하게 잡음)</t>
    <phoneticPr fontId="11" type="noConversion"/>
  </si>
  <si>
    <t>CONFIG_FRAME_MAX_LEVEL</t>
  </si>
  <si>
    <t>유닛 인벤토리 사이즈(아티팩트 시스템 폐기돼서 안쓰고있음)</t>
    <phoneticPr fontId="11" type="noConversion"/>
  </si>
  <si>
    <t>4/*6*/</t>
  </si>
  <si>
    <t>CONFIG_UNIT_INVENTORY_SIZE</t>
  </si>
  <si>
    <t>멈추기 명령문자열</t>
    <phoneticPr fontId="11" type="noConversion"/>
  </si>
  <si>
    <t>acidbomb</t>
    <phoneticPr fontId="11" type="noConversion"/>
  </si>
  <si>
    <t>CONFIG_ORDER_STRING_CUSTOM_STOP</t>
    <phoneticPr fontId="3" type="noConversion"/>
  </si>
  <si>
    <t>상호작용하기 명령문자열</t>
    <phoneticPr fontId="11" type="noConversion"/>
  </si>
  <si>
    <t>absorb</t>
    <phoneticPr fontId="11" type="noConversion"/>
  </si>
  <si>
    <t>CONFIG_ORDER_STRING_INTERACT</t>
    <phoneticPr fontId="3" type="noConversion"/>
  </si>
  <si>
    <t>이동하기(채널) 명령문자열</t>
    <phoneticPr fontId="11" type="noConversion"/>
  </si>
  <si>
    <t>acolyteharvest</t>
    <phoneticPr fontId="11" type="noConversion"/>
  </si>
  <si>
    <t>CONFIG_ORDER_STRING_CUSTOM_MOVE</t>
    <phoneticPr fontId="3" type="noConversion"/>
  </si>
  <si>
    <t>따라가기 명령문자열</t>
    <phoneticPr fontId="11" type="noConversion"/>
  </si>
  <si>
    <t>channel</t>
    <phoneticPr fontId="11" type="noConversion"/>
  </si>
  <si>
    <t>CONFIG_ORDER_STRING_FOLLOW</t>
    <phoneticPr fontId="3" type="noConversion"/>
  </si>
  <si>
    <t>유닛(wrapper)이 아닌 유닛이 가지는 더미스킬</t>
    <phoneticPr fontId="11" type="noConversion"/>
  </si>
  <si>
    <t>'Axx8'</t>
  </si>
  <si>
    <t>CONFIG_ABILITY_ID_CLASS_NONUNIT</t>
    <phoneticPr fontId="3" type="noConversion"/>
  </si>
  <si>
    <t>멈추기(채널) 스킬, 자동공격 방지용으로 만든듯</t>
    <phoneticPr fontId="11" type="noConversion"/>
  </si>
  <si>
    <t>'Axx7'</t>
  </si>
  <si>
    <t>CONFIG_ABILITY_ID_STOP</t>
  </si>
  <si>
    <t>상호작용 유닛이 가지는 더미스킬</t>
    <phoneticPr fontId="11" type="noConversion"/>
  </si>
  <si>
    <t>'Axx6'</t>
  </si>
  <si>
    <t>CONFIG_ABILITY_ID_CLASS_INTERACTIVE</t>
  </si>
  <si>
    <t>상호작용(채널) 스킬</t>
    <phoneticPr fontId="11" type="noConversion"/>
  </si>
  <si>
    <t>'Axx4'</t>
  </si>
  <si>
    <t>CONFIG_ABILITY_ID_INTERACT</t>
  </si>
  <si>
    <t>이동하기(채널) 스킬</t>
    <phoneticPr fontId="11" type="noConversion"/>
  </si>
  <si>
    <t>'Axx2'</t>
  </si>
  <si>
    <t>CONFIG_ABILITY_ID_MOVE</t>
  </si>
  <si>
    <t>따라가기(채널) 스킬</t>
    <phoneticPr fontId="11" type="noConversion"/>
  </si>
  <si>
    <t>'Axx1'</t>
  </si>
  <si>
    <t>CONFIG_ABILITY_ID_FOLLOW</t>
  </si>
  <si>
    <t>공격속도 스킬</t>
    <phoneticPr fontId="11" type="noConversion"/>
  </si>
  <si>
    <t>'Axx0'</t>
  </si>
  <si>
    <t>CONFIG_ABILITY_ID_ATTACK_SPEED</t>
  </si>
  <si>
    <t>보유 어빌리티 한도</t>
    <phoneticPr fontId="11" type="noConversion"/>
  </si>
  <si>
    <t>CONFIG_ABILITY_SIZE</t>
  </si>
  <si>
    <t>CONFIG_UNIT_SELECTION_CIRCLE_DEFAULT</t>
  </si>
  <si>
    <t>CONFIG_PLAYER_MAX</t>
    <phoneticPr fontId="3" type="noConversion"/>
  </si>
  <si>
    <t>NPC</t>
    <phoneticPr fontId="11" type="noConversion"/>
  </si>
  <si>
    <t>Player(PLAYER_NEUTRAL_PASSIVE)</t>
  </si>
  <si>
    <t>CONFIG_PLAYER_NPC</t>
    <phoneticPr fontId="11" type="noConversion"/>
  </si>
  <si>
    <t>player</t>
    <phoneticPr fontId="3" type="noConversion"/>
  </si>
  <si>
    <t>시스템메세지</t>
    <phoneticPr fontId="11" type="noConversion"/>
  </si>
  <si>
    <t>Player(24)</t>
  </si>
  <si>
    <t>CONFIG_PLAYER_SYSTEM</t>
    <phoneticPr fontId="11" type="noConversion"/>
  </si>
  <si>
    <t>수호자</t>
    <phoneticPr fontId="11" type="noConversion"/>
  </si>
  <si>
    <t>Player(21)</t>
  </si>
  <si>
    <t>CONFIG_PLAYER_GUARDIANS</t>
    <phoneticPr fontId="11" type="noConversion"/>
  </si>
  <si>
    <t>괴수</t>
    <phoneticPr fontId="11" type="noConversion"/>
  </si>
  <si>
    <t>Player(23)</t>
  </si>
  <si>
    <t>CONFIG_PLAYER_MONSTER</t>
    <phoneticPr fontId="11" type="noConversion"/>
  </si>
  <si>
    <t>언데드</t>
    <phoneticPr fontId="11" type="noConversion"/>
  </si>
  <si>
    <t>Player(20)</t>
  </si>
  <si>
    <t>CONFIG_PLAYER_UNDEAD</t>
    <phoneticPr fontId="11" type="noConversion"/>
  </si>
  <si>
    <t>아이템 더미유닛 출력 시</t>
    <phoneticPr fontId="11" type="noConversion"/>
  </si>
  <si>
    <t>Player(22)</t>
  </si>
  <si>
    <t>CONFIG_PLAYER_ITEM</t>
    <phoneticPr fontId="11" type="noConversion"/>
  </si>
  <si>
    <t>CONFIG_CLIFF_HEIGHT_DEFAULT</t>
  </si>
  <si>
    <t>-10240</t>
    <phoneticPr fontId="3" type="noConversion"/>
  </si>
  <si>
    <t>CONFIG_MIN_Y</t>
  </si>
  <si>
    <t>10240</t>
    <phoneticPr fontId="3" type="noConversion"/>
  </si>
  <si>
    <t>CONFIG_MAX_Y</t>
  </si>
  <si>
    <t>CONFIG_MIN_X</t>
  </si>
  <si>
    <t>CONFIG_MAX_X</t>
  </si>
  <si>
    <t>CONFIG_DEBUG</t>
  </si>
  <si>
    <t>설명</t>
    <phoneticPr fontId="11" type="noConversion"/>
  </si>
  <si>
    <t>value</t>
    <phoneticPr fontId="11" type="noConversion"/>
  </si>
  <si>
    <t>name</t>
    <phoneticPr fontId="11" type="noConversion"/>
  </si>
  <si>
    <t>type</t>
    <phoneticPr fontId="11" type="noConversion"/>
  </si>
  <si>
    <t>OSKEY_X</t>
  </si>
  <si>
    <t>oskeytype</t>
    <phoneticPr fontId="11" type="noConversion"/>
  </si>
  <si>
    <t>OSKEY</t>
    <phoneticPr fontId="11" type="noConversion"/>
  </si>
  <si>
    <t>X</t>
    <phoneticPr fontId="11" type="noConversion"/>
  </si>
  <si>
    <t>string</t>
    <phoneticPr fontId="11" type="noConversion"/>
  </si>
  <si>
    <t>NAME</t>
    <phoneticPr fontId="11" type="noConversion"/>
  </si>
  <si>
    <t>CONSTANT_ABILITY_HOTKEY</t>
  </si>
  <si>
    <t>ENUM_ABILITY_HOTKEY_UNGRAB</t>
    <phoneticPr fontId="11" type="noConversion"/>
  </si>
  <si>
    <t>OSKEY_Z</t>
  </si>
  <si>
    <t>Z</t>
    <phoneticPr fontId="11" type="noConversion"/>
  </si>
  <si>
    <t>ENUM_ABILITY_HOTKEY_UNRIDE</t>
    <phoneticPr fontId="11" type="noConversion"/>
  </si>
  <si>
    <t>OSKEY_4</t>
  </si>
  <si>
    <t>4</t>
    <phoneticPr fontId="11" type="noConversion"/>
  </si>
  <si>
    <t>ENUM_ABILITY_HOTKEY_10</t>
  </si>
  <si>
    <t>OSKEY_3</t>
  </si>
  <si>
    <t>3</t>
    <phoneticPr fontId="11" type="noConversion"/>
  </si>
  <si>
    <t>ENUM_ABILITY_HOTKEY_9</t>
  </si>
  <si>
    <t>OSKEY_2</t>
  </si>
  <si>
    <t>2</t>
    <phoneticPr fontId="11" type="noConversion"/>
  </si>
  <si>
    <t>ENUM_ABILITY_HOTKEY_8</t>
  </si>
  <si>
    <t>OSKEY_1</t>
  </si>
  <si>
    <t>1</t>
    <phoneticPr fontId="11" type="noConversion"/>
  </si>
  <si>
    <t>ENUM_ABILITY_HOTKEY_7</t>
  </si>
  <si>
    <t>OSKEY_F</t>
  </si>
  <si>
    <t>F</t>
    <phoneticPr fontId="11" type="noConversion"/>
  </si>
  <si>
    <t>ENUM_ABILITY_HOTKEY_6</t>
  </si>
  <si>
    <t>OSKEY_D</t>
  </si>
  <si>
    <t>D</t>
    <phoneticPr fontId="11" type="noConversion"/>
  </si>
  <si>
    <t>ENUM_ABILITY_HOTKEY_5</t>
  </si>
  <si>
    <t>OSKEY_R</t>
  </si>
  <si>
    <t>R</t>
    <phoneticPr fontId="11" type="noConversion"/>
  </si>
  <si>
    <t>ENUM_ABILITY_HOTKEY_4</t>
  </si>
  <si>
    <t>OSKEY_E</t>
  </si>
  <si>
    <t>E</t>
    <phoneticPr fontId="11" type="noConversion"/>
  </si>
  <si>
    <t>ENUM_ABILITY_HOTKEY_3</t>
  </si>
  <si>
    <t>OSKEY_W</t>
  </si>
  <si>
    <t>W</t>
    <phoneticPr fontId="11" type="noConversion"/>
  </si>
  <si>
    <t>ENUM_ABILITY_HOTKEY_2</t>
    <phoneticPr fontId="11" type="noConversion"/>
  </si>
  <si>
    <t>OSKEY_Q</t>
  </si>
  <si>
    <t>Q</t>
    <phoneticPr fontId="11" type="noConversion"/>
  </si>
  <si>
    <t>ENUM_ABILITY_HOTKEY_1</t>
    <phoneticPr fontId="11" type="noConversion"/>
  </si>
  <si>
    <t>|cffffff00</t>
  </si>
  <si>
    <t>COLOR</t>
    <phoneticPr fontId="11" type="noConversion"/>
  </si>
  <si>
    <t>칭호</t>
    <phoneticPr fontId="3" type="noConversion"/>
  </si>
  <si>
    <t>CONSTANT_ABILITY_TAG</t>
  </si>
  <si>
    <t>ENUM_ABILITY_TAG_CHINGHO</t>
  </si>
  <si>
    <t>ENUM_ABILITY_TAG_TRANSFORM</t>
  </si>
  <si>
    <t>하수인</t>
    <phoneticPr fontId="3" type="noConversion"/>
  </si>
  <si>
    <t>ENUM_ABILITY_TAG_SERVANT</t>
  </si>
  <si>
    <t>소환수</t>
    <phoneticPr fontId="3" type="noConversion"/>
  </si>
  <si>
    <t>ENUM_ABILITY_TAG_SUMMON</t>
  </si>
  <si>
    <t>포션</t>
    <phoneticPr fontId="3" type="noConversion"/>
  </si>
  <si>
    <t>ENUM_ABILITY_TAG_POTION</t>
  </si>
  <si>
    <t>음식</t>
    <phoneticPr fontId="3" type="noConversion"/>
  </si>
  <si>
    <t>ENUM_ABILITY_TAG_FOOD</t>
  </si>
  <si>
    <t>야성</t>
    <phoneticPr fontId="3" type="noConversion"/>
  </si>
  <si>
    <t>ENUM_ABILITY_TAG_WILD</t>
  </si>
  <si>
    <t>바람</t>
    <phoneticPr fontId="3" type="noConversion"/>
  </si>
  <si>
    <t>ENUM_ABILITY_TAG_WIND</t>
  </si>
  <si>
    <t>신비</t>
    <phoneticPr fontId="3" type="noConversion"/>
  </si>
  <si>
    <t>ENUM_ABILITY_TAG_ARCANE</t>
  </si>
  <si>
    <t>대지</t>
    <phoneticPr fontId="3" type="noConversion"/>
  </si>
  <si>
    <t>ENUM_ABILITY_TAG_EARTH</t>
  </si>
  <si>
    <t>자연</t>
    <phoneticPr fontId="3" type="noConversion"/>
  </si>
  <si>
    <t>ENUM_ABILITY_TAG_NATURE</t>
  </si>
  <si>
    <t>병기</t>
    <phoneticPr fontId="3" type="noConversion"/>
  </si>
  <si>
    <t>ENUM_ABILITY_TAG_FIREARM</t>
  </si>
  <si>
    <t>생체무기</t>
    <phoneticPr fontId="3" type="noConversion"/>
  </si>
  <si>
    <t>ENUM_ABILITY_TAG_BIO</t>
  </si>
  <si>
    <t>투척</t>
    <phoneticPr fontId="3" type="noConversion"/>
  </si>
  <si>
    <t>ENUM_ABILITY_TAG_THROW</t>
  </si>
  <si>
    <t>일반타격</t>
    <phoneticPr fontId="3" type="noConversion"/>
  </si>
  <si>
    <t>ENUM_ABILITY_TAG_NORMAL</t>
  </si>
  <si>
    <t>암흑</t>
    <phoneticPr fontId="3" type="noConversion"/>
  </si>
  <si>
    <t>ENUM_ABILITY_TAG_DARK</t>
  </si>
  <si>
    <t>신성</t>
    <phoneticPr fontId="3" type="noConversion"/>
  </si>
  <si>
    <t>ENUM_ABILITY_TAG_DIVINE</t>
  </si>
  <si>
    <t>전격</t>
    <phoneticPr fontId="3" type="noConversion"/>
  </si>
  <si>
    <t>ENUM_ABILITY_TAG_LIGHTNING</t>
  </si>
  <si>
    <t>독성</t>
    <phoneticPr fontId="3" type="noConversion"/>
  </si>
  <si>
    <t>ENUM_ABILITY_TAG_POISON</t>
  </si>
  <si>
    <t>냉기</t>
    <phoneticPr fontId="3" type="noConversion"/>
  </si>
  <si>
    <t>ENUM_ABILITY_TAG_FROST</t>
  </si>
  <si>
    <t>화염</t>
    <phoneticPr fontId="3" type="noConversion"/>
  </si>
  <si>
    <t>ENUM_ABILITY_TAG_FIRE</t>
  </si>
  <si>
    <t>폭발</t>
    <phoneticPr fontId="3" type="noConversion"/>
  </si>
  <si>
    <t>ENUM_ABILITY_TAG_EXPLOSION</t>
  </si>
  <si>
    <t>참격</t>
    <phoneticPr fontId="3" type="noConversion"/>
  </si>
  <si>
    <t>ENUM_ABILITY_TAG_SLASH</t>
  </si>
  <si>
    <t>관통</t>
    <phoneticPr fontId="3" type="noConversion"/>
  </si>
  <si>
    <t>ENUM_ABILITY_TAG_PIERCE</t>
  </si>
  <si>
    <t>강한타격</t>
    <phoneticPr fontId="3" type="noConversion"/>
  </si>
  <si>
    <t>ENUM_ABILITY_TAG_BASH</t>
  </si>
  <si>
    <t>|cff00ffff</t>
  </si>
  <si>
    <t>무기</t>
    <phoneticPr fontId="3" type="noConversion"/>
  </si>
  <si>
    <t>CONSTANT_CAST_TYPE</t>
  </si>
  <si>
    <t>ENUM_CAST_TYPE_WEAPON</t>
  </si>
  <si>
    <t>끌어서 사용</t>
    <phoneticPr fontId="3" type="noConversion"/>
  </si>
  <si>
    <t>ENUM_CAST_TYPE_DRAG_TO_USE</t>
  </si>
  <si>
    <t>지속효과</t>
    <phoneticPr fontId="3" type="noConversion"/>
  </si>
  <si>
    <t>ENUM_CAST_TYPE_PASSIVE</t>
  </si>
  <si>
    <t>즉시 사용</t>
    <phoneticPr fontId="3" type="noConversion"/>
  </si>
  <si>
    <t>ENUM_CAST_TYPE_IMMEDIATE</t>
  </si>
  <si>
    <t>유닛 목표물</t>
    <phoneticPr fontId="3" type="noConversion"/>
  </si>
  <si>
    <t>ENUM_CAST_TYPE_TARGET_UNIT</t>
  </si>
  <si>
    <t>지점 목표물</t>
    <phoneticPr fontId="3" type="noConversion"/>
  </si>
  <si>
    <t>ENUM_CAST_TYPE_TARGET_LOCATION</t>
  </si>
  <si>
    <t>CONSTANT_UNIT_CLASS</t>
  </si>
  <si>
    <t>ENUM_UNIT_CLASS_POMANGAM</t>
  </si>
  <si>
    <t>ENUM_UNIT_CLASS_ADDICT</t>
  </si>
  <si>
    <t>건물</t>
    <phoneticPr fontId="3" type="noConversion"/>
  </si>
  <si>
    <t>ENUM_UNIT_CLASS_STRUCTURE</t>
  </si>
  <si>
    <t>광물</t>
    <phoneticPr fontId="3" type="noConversion"/>
  </si>
  <si>
    <t>ENUM_UNIT_CLASS_MINERAL</t>
  </si>
  <si>
    <t>ENUM_UNIT_CLASS_SERVANT</t>
  </si>
  <si>
    <t>소환물</t>
    <phoneticPr fontId="3" type="noConversion"/>
  </si>
  <si>
    <t>ENUM_UNIT_CLASS_SUMMON</t>
  </si>
  <si>
    <t>ENUM_UNIT_CLASS_GUARDIAN</t>
  </si>
  <si>
    <t>환영</t>
    <phoneticPr fontId="3" type="noConversion"/>
  </si>
  <si>
    <t>ENUM_UNIT_CLASS_ILLUSION</t>
  </si>
  <si>
    <t>식물</t>
    <phoneticPr fontId="3" type="noConversion"/>
  </si>
  <si>
    <t>ENUM_UNIT_CLASS_PLANT</t>
  </si>
  <si>
    <t>기계</t>
    <phoneticPr fontId="3" type="noConversion"/>
  </si>
  <si>
    <t>ENUM_UNIT_CLASS_MECHANICAL</t>
  </si>
  <si>
    <t>언데드</t>
    <phoneticPr fontId="3" type="noConversion"/>
  </si>
  <si>
    <t>ENUM_UNIT_CLASS_UNDEAD</t>
  </si>
  <si>
    <t>ICON</t>
    <phoneticPr fontId="11" type="noConversion"/>
  </si>
  <si>
    <t>CONSTANT_ABILITY_UPGRADE_TYPE</t>
    <phoneticPr fontId="11" type="noConversion"/>
  </si>
  <si>
    <t>|cff00cc00</t>
  </si>
  <si>
    <t>ENUM_ABILITY_UPGRADE_TYPE_GREEN</t>
  </si>
  <si>
    <t>|cffff9900</t>
  </si>
  <si>
    <t>|cffffcc00</t>
  </si>
  <si>
    <t>금화</t>
    <phoneticPr fontId="3" type="noConversion"/>
  </si>
  <si>
    <t>5티어</t>
    <phoneticPr fontId="3" type="noConversion"/>
  </si>
  <si>
    <t>CONSTANT_TIER</t>
  </si>
  <si>
    <t>ENUM_TIER_5</t>
  </si>
  <si>
    <t>|cffcc00ff</t>
  </si>
  <si>
    <t>4티어</t>
    <phoneticPr fontId="3" type="noConversion"/>
  </si>
  <si>
    <t>ENUM_TIER_4</t>
  </si>
  <si>
    <t>|cff0099ff</t>
  </si>
  <si>
    <t>3티어</t>
    <phoneticPr fontId="3" type="noConversion"/>
  </si>
  <si>
    <t>ENUM_TIER_3</t>
  </si>
  <si>
    <t>|cff00ff00</t>
  </si>
  <si>
    <t>2티어</t>
    <phoneticPr fontId="3" type="noConversion"/>
  </si>
  <si>
    <t>ENUM_TIER_2</t>
  </si>
  <si>
    <t>|cffffffff</t>
  </si>
  <si>
    <t>1티어</t>
    <phoneticPr fontId="3" type="noConversion"/>
  </si>
  <si>
    <t>ENUM_TIER_1</t>
  </si>
  <si>
    <t>|cffcccccc</t>
  </si>
  <si>
    <t>ENUM_TIER_0</t>
  </si>
  <si>
    <t>|cff999999</t>
  </si>
  <si>
    <t>미분류</t>
    <phoneticPr fontId="3" type="noConversion"/>
  </si>
  <si>
    <t>CONSTANT_DAMAGE</t>
  </si>
  <si>
    <t>근접</t>
    <phoneticPr fontId="3" type="noConversion"/>
  </si>
  <si>
    <t>원거리</t>
    <phoneticPr fontId="3" type="noConversion"/>
  </si>
  <si>
    <t>비적중</t>
    <phoneticPr fontId="3" type="noConversion"/>
  </si>
  <si>
    <t>적중</t>
    <phoneticPr fontId="3" type="noConversion"/>
  </si>
  <si>
    <t>단일</t>
    <phoneticPr fontId="3" type="noConversion"/>
  </si>
  <si>
    <t>범위</t>
    <phoneticPr fontId="3" type="noConversion"/>
  </si>
  <si>
    <t>논타겟</t>
    <phoneticPr fontId="3" type="noConversion"/>
  </si>
  <si>
    <t>타겟팅</t>
    <phoneticPr fontId="3" type="noConversion"/>
  </si>
  <si>
    <t>내부</t>
    <phoneticPr fontId="3" type="noConversion"/>
  </si>
  <si>
    <t>외부</t>
    <phoneticPr fontId="3" type="noConversion"/>
  </si>
  <si>
    <t>지속</t>
    <phoneticPr fontId="3" type="noConversion"/>
  </si>
  <si>
    <t>단발</t>
    <phoneticPr fontId="3" type="noConversion"/>
  </si>
  <si>
    <t>고정</t>
    <phoneticPr fontId="3" type="noConversion"/>
  </si>
  <si>
    <t>ENUM_DAMAGE_TRUE</t>
  </si>
  <si>
    <t>|cff9999ff</t>
  </si>
  <si>
    <t>마법</t>
    <phoneticPr fontId="3" type="noConversion"/>
  </si>
  <si>
    <t>물리</t>
    <phoneticPr fontId="3" type="noConversion"/>
  </si>
  <si>
    <t>추가</t>
    <phoneticPr fontId="3" type="noConversion"/>
  </si>
  <si>
    <t>|cffff00ff</t>
  </si>
  <si>
    <t>복합</t>
    <phoneticPr fontId="3" type="noConversion"/>
  </si>
  <si>
    <t>ENUM_DAMAGE_HYBRID</t>
  </si>
  <si>
    <t>스킬</t>
    <phoneticPr fontId="3" type="noConversion"/>
  </si>
  <si>
    <t>기본</t>
    <phoneticPr fontId="3" type="noConversion"/>
  </si>
  <si>
    <t>더미표시</t>
    <phoneticPr fontId="3" type="noConversion"/>
  </si>
  <si>
    <t>CONSTANT_STATUS</t>
  </si>
  <si>
    <t>ENUM_STATUS_DUMMY</t>
  </si>
  <si>
    <t>대상지정불가</t>
    <phoneticPr fontId="3" type="noConversion"/>
  </si>
  <si>
    <t>ENUM_STATUS_LOCUST</t>
  </si>
  <si>
    <t>중량화</t>
    <phoneticPr fontId="3" type="noConversion"/>
  </si>
  <si>
    <t>ENUM_STATUS_HEAVY</t>
  </si>
  <si>
    <t>탑승</t>
    <phoneticPr fontId="3" type="noConversion"/>
  </si>
  <si>
    <t>ENUM_STATUS_RIDING</t>
  </si>
  <si>
    <t>ENUM_STATUS_ROOT</t>
  </si>
  <si>
    <t>행동불가</t>
    <phoneticPr fontId="3" type="noConversion"/>
  </si>
  <si>
    <t>ENUM_STATUS_DISABLED</t>
  </si>
  <si>
    <t>숨김</t>
    <phoneticPr fontId="3" type="noConversion"/>
  </si>
  <si>
    <t>ENUM_STATUS_HIDE</t>
  </si>
  <si>
    <t>충돌무시</t>
    <phoneticPr fontId="3" type="noConversion"/>
  </si>
  <si>
    <t>ENUM_STATUS_GHOST</t>
  </si>
  <si>
    <t>저지불가</t>
    <phoneticPr fontId="3" type="noConversion"/>
  </si>
  <si>
    <t>ENUM_STATUS_UNSTOP</t>
  </si>
  <si>
    <t>죽음</t>
    <phoneticPr fontId="3" type="noConversion"/>
  </si>
  <si>
    <t>ENUM_STATUS_DEAD</t>
  </si>
  <si>
    <t>붙잡힘</t>
    <phoneticPr fontId="3" type="noConversion"/>
  </si>
  <si>
    <t>ENUM_STATUS_GRABBED</t>
  </si>
  <si>
    <t>실명</t>
    <phoneticPr fontId="3" type="noConversion"/>
  </si>
  <si>
    <t>ENUM_STATUS_BLIND</t>
  </si>
  <si>
    <t>회피</t>
    <phoneticPr fontId="3" type="noConversion"/>
  </si>
  <si>
    <t>ENUM_STATUS_EVASION</t>
  </si>
  <si>
    <t>침묵</t>
    <phoneticPr fontId="3" type="noConversion"/>
  </si>
  <si>
    <t>ENUM_STATUS_SILENCE</t>
  </si>
  <si>
    <t>무적</t>
    <phoneticPr fontId="3" type="noConversion"/>
  </si>
  <si>
    <t>ENUM_STATUS_INVINCIBLE</t>
  </si>
  <si>
    <t>동작중</t>
    <phoneticPr fontId="3" type="noConversion"/>
  </si>
  <si>
    <t>ENUM_STATUS_CAST</t>
  </si>
  <si>
    <t>무장해제</t>
    <phoneticPr fontId="3" type="noConversion"/>
  </si>
  <si>
    <t>ENUM_STATUS_DISARM</t>
  </si>
  <si>
    <t>속박</t>
    <phoneticPr fontId="3" type="noConversion"/>
  </si>
  <si>
    <t>ENUM_STATUS_ENSNARE</t>
  </si>
  <si>
    <t>기절</t>
    <phoneticPr fontId="3" type="noConversion"/>
  </si>
  <si>
    <t>ENUM_STATUS_STUN</t>
  </si>
  <si>
    <t>CONSTANT_STAT</t>
  </si>
  <si>
    <t>ENUM_STAT_GOLD</t>
  </si>
  <si>
    <t>|cffc690e1</t>
  </si>
  <si>
    <t>보호막</t>
    <phoneticPr fontId="3" type="noConversion"/>
  </si>
  <si>
    <t>ENUM_STAT_SHIELD</t>
  </si>
  <si>
    <t>현재 마나</t>
    <phoneticPr fontId="3" type="noConversion"/>
  </si>
  <si>
    <t>ENUM_STAT_MP_CURRENT</t>
  </si>
  <si>
    <t>현재 체력</t>
    <phoneticPr fontId="3" type="noConversion"/>
  </si>
  <si>
    <t>ENUM_STAT_HP_CURRENT</t>
  </si>
  <si>
    <t>잃은 마나</t>
    <phoneticPr fontId="3" type="noConversion"/>
  </si>
  <si>
    <t>ENUM_STAT_MP_LOST</t>
  </si>
  <si>
    <t>|cffff3333</t>
  </si>
  <si>
    <t>잃은 체력</t>
    <phoneticPr fontId="3" type="noConversion"/>
  </si>
  <si>
    <t>ENUM_STAT_HP_LOST</t>
  </si>
  <si>
    <t>마나</t>
    <phoneticPr fontId="3" type="noConversion"/>
  </si>
  <si>
    <t>ENUM_STAT_MP</t>
  </si>
  <si>
    <t>체력</t>
    <phoneticPr fontId="3" type="noConversion"/>
  </si>
  <si>
    <t>ENUM_STAT_HP</t>
  </si>
  <si>
    <t>ENUM_STAT_MAGICAL</t>
  </si>
  <si>
    <t>ENUM_STAT_PHYSICAL</t>
  </si>
  <si>
    <t>ENUM_STAT_CONSTANT</t>
  </si>
  <si>
    <t>|cffc3dbff</t>
  </si>
  <si>
    <t>소환 지속시간</t>
    <phoneticPr fontId="3" type="noConversion"/>
  </si>
  <si>
    <t>ENUM_STAT_SUMMON_DURATION</t>
  </si>
  <si>
    <t>스킬레벨</t>
    <phoneticPr fontId="3" type="noConversion"/>
  </si>
  <si>
    <t>ENUM_STAT_SKILL_LEVEL</t>
  </si>
  <si>
    <t>레벨</t>
    <phoneticPr fontId="3" type="noConversion"/>
  </si>
  <si>
    <t>탐욕</t>
    <phoneticPr fontId="3" type="noConversion"/>
  </si>
  <si>
    <t>|cff6666dd</t>
  </si>
  <si>
    <t>통찰</t>
    <phoneticPr fontId="3" type="noConversion"/>
  </si>
  <si>
    <t>ENUM_STAT_INSIGHT</t>
  </si>
  <si>
    <t>애정</t>
    <phoneticPr fontId="3" type="noConversion"/>
  </si>
  <si>
    <t>|cffcc9966</t>
  </si>
  <si>
    <t>노동력</t>
    <phoneticPr fontId="3" type="noConversion"/>
  </si>
  <si>
    <t>받는 회복량</t>
    <phoneticPr fontId="3" type="noConversion"/>
  </si>
  <si>
    <t>ENUM_STAT_HEAL_AMP</t>
  </si>
  <si>
    <t>|cff0088dd</t>
  </si>
  <si>
    <t>마나재생</t>
    <phoneticPr fontId="3" type="noConversion"/>
  </si>
  <si>
    <t>|cff00dd00</t>
  </si>
  <si>
    <t>체력재생</t>
    <phoneticPr fontId="3" type="noConversion"/>
  </si>
  <si>
    <t>공격 사거리</t>
    <phoneticPr fontId="3" type="noConversion"/>
  </si>
  <si>
    <t>ENUM_STAT_ATTACK_RANGE</t>
  </si>
  <si>
    <t>행운</t>
    <phoneticPr fontId="3" type="noConversion"/>
  </si>
  <si>
    <t>|cffffff99</t>
  </si>
  <si>
    <t>공격속도</t>
    <phoneticPr fontId="3" type="noConversion"/>
  </si>
  <si>
    <t>이동속도</t>
    <phoneticPr fontId="3" type="noConversion"/>
  </si>
  <si>
    <t>ENUM_STAT_MOVEMENT_SPEED</t>
  </si>
  <si>
    <t>|cffff99ff</t>
  </si>
  <si>
    <t>스킬가속</t>
    <phoneticPr fontId="3" type="noConversion"/>
  </si>
  <si>
    <t>|cff9999dd</t>
  </si>
  <si>
    <t>저항관통</t>
    <phoneticPr fontId="3" type="noConversion"/>
  </si>
  <si>
    <t>|cffff6600</t>
  </si>
  <si>
    <t>방어관통</t>
    <phoneticPr fontId="3" type="noConversion"/>
  </si>
  <si>
    <t>|cff99ccff</t>
  </si>
  <si>
    <t>회피치</t>
    <phoneticPr fontId="3" type="noConversion"/>
  </si>
  <si>
    <t>정확도</t>
    <phoneticPr fontId="3" type="noConversion"/>
  </si>
  <si>
    <t>|cff00ff99</t>
  </si>
  <si>
    <t>저항력</t>
    <phoneticPr fontId="3" type="noConversion"/>
  </si>
  <si>
    <t>주문력</t>
    <phoneticPr fontId="3" type="noConversion"/>
  </si>
  <si>
    <t>|cffffcc99</t>
  </si>
  <si>
    <t>방어력</t>
    <phoneticPr fontId="3" type="noConversion"/>
  </si>
  <si>
    <t>공격력</t>
    <phoneticPr fontId="3" type="noConversion"/>
  </si>
  <si>
    <t>최대마나</t>
    <phoneticPr fontId="3" type="noConversion"/>
  </si>
  <si>
    <t>최대체력</t>
    <phoneticPr fontId="3" type="noConversion"/>
  </si>
  <si>
    <t>value</t>
    <phoneticPr fontId="3" type="noConversion"/>
  </si>
  <si>
    <t>subfix</t>
    <phoneticPr fontId="11" type="noConversion"/>
  </si>
  <si>
    <t>arrname</t>
    <phoneticPr fontId="3" type="noConversion"/>
  </si>
  <si>
    <t>index</t>
    <phoneticPr fontId="3" type="noConversion"/>
  </si>
  <si>
    <t>ENUM_ABILITY_HOTKEY_MAX</t>
  </si>
  <si>
    <t>ENUM_ABILITY_HOTKEY_UNGRAB</t>
  </si>
  <si>
    <t>integer</t>
    <phoneticPr fontId="11" type="noConversion"/>
  </si>
  <si>
    <t>ENUM_ABILITY_HOTKEY_UNRIDE</t>
  </si>
  <si>
    <t>ENUM_ABILITY_HOTKEY_2</t>
  </si>
  <si>
    <t>ENUM_ABILITY_HOTKEY_1</t>
  </si>
  <si>
    <t>ENUM_ABILITY_UPGRADE_TYPE_MAX</t>
    <phoneticPr fontId="11" type="noConversion"/>
  </si>
  <si>
    <t>ENUM_ABILITY_UPGRADE_TYPE_BLUE</t>
    <phoneticPr fontId="11" type="noConversion"/>
  </si>
  <si>
    <t>ENUM_ABILITY_UPGRADE_TYPE_GREEN</t>
    <phoneticPr fontId="11" type="noConversion"/>
  </si>
  <si>
    <t>ENUM_ABILITY_UPGRADE_TYPE_RED</t>
    <phoneticPr fontId="11" type="noConversion"/>
  </si>
  <si>
    <t>6</t>
    <phoneticPr fontId="3" type="noConversion"/>
  </si>
  <si>
    <t>ENUM_TIER_MAX</t>
  </si>
  <si>
    <t>103</t>
    <phoneticPr fontId="3" type="noConversion"/>
  </si>
  <si>
    <t>102</t>
    <phoneticPr fontId="3" type="noConversion"/>
  </si>
  <si>
    <t>101</t>
    <phoneticPr fontId="3" type="noConversion"/>
  </si>
  <si>
    <t>100</t>
    <phoneticPr fontId="3" type="noConversion"/>
  </si>
  <si>
    <t>18</t>
    <phoneticPr fontId="3" type="noConversion"/>
  </si>
  <si>
    <t>16</t>
    <phoneticPr fontId="3" type="noConversion"/>
  </si>
  <si>
    <t>14</t>
    <phoneticPr fontId="3" type="noConversion"/>
  </si>
  <si>
    <t>13</t>
    <phoneticPr fontId="3" type="noConversion"/>
  </si>
  <si>
    <t>12</t>
    <phoneticPr fontId="3" type="noConversion"/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</si>
  <si>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</si>
  <si>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</si>
  <si>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</si>
  <si>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</si>
  <si>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</si>
  <si>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</si>
  <si>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</si>
  <si>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</si>
  <si>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</si>
  <si>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</si>
  <si>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무기임</t>
    <phoneticPr fontId="11" type="noConversion"/>
  </si>
  <si>
    <t>끌어서사용(빅토르레이저)</t>
    <phoneticPr fontId="11" type="noConversion"/>
  </si>
  <si>
    <t>그냥패시브</t>
    <phoneticPr fontId="11" type="noConversion"/>
  </si>
  <si>
    <t>즉시사용</t>
    <phoneticPr fontId="11" type="noConversion"/>
  </si>
  <si>
    <t>유닛목표</t>
    <phoneticPr fontId="11" type="noConversion"/>
  </si>
  <si>
    <t>지점목표</t>
    <phoneticPr fontId="11" type="noConversion"/>
  </si>
  <si>
    <t>ENUM_EVENT_CARCULATE_DAMAGE</t>
  </si>
  <si>
    <t>유닛 이동효과(넉백, 에어본 등)가 중단됨(완료x)</t>
    <phoneticPr fontId="11" type="noConversion"/>
  </si>
  <si>
    <t>ENUM_EVENT_MOVER_SUSPEND</t>
  </si>
  <si>
    <t>행위자가 중단됨(완료x)</t>
    <phoneticPr fontId="11" type="noConversion"/>
  </si>
  <si>
    <t>ENUM_EVENT_ACTOR_SUSPEND</t>
  </si>
  <si>
    <t>유닛을 붙잡음(또는 실패함)</t>
    <phoneticPr fontId="11" type="noConversion"/>
  </si>
  <si>
    <t>ENUM_EVENT_GRABBING</t>
  </si>
  <si>
    <t>유닛에 탑승함(또는 실패함)</t>
    <phoneticPr fontId="11" type="noConversion"/>
  </si>
  <si>
    <t>ENUM_EVENT_RIDING</t>
  </si>
  <si>
    <t>사망 직전 발동</t>
    <phoneticPr fontId="11" type="noConversion"/>
  </si>
  <si>
    <t>ENUM_EVENT_BEFORE_DEATH</t>
  </si>
  <si>
    <t>유닛을 선택함(전용 선택함수를 만들었던걸로 기억)</t>
    <phoneticPr fontId="11" type="noConversion"/>
  </si>
  <si>
    <t>ENUM_EVENT_UNIT_SELECT</t>
  </si>
  <si>
    <t>버프가 제거됨</t>
    <phoneticPr fontId="11" type="noConversion"/>
  </si>
  <si>
    <t>ENUM_EVENT_BUFF_DESTROY</t>
  </si>
  <si>
    <t>유닛이 워프함</t>
    <phoneticPr fontId="11" type="noConversion"/>
  </si>
  <si>
    <t>ENUM_EVENT_WARP</t>
  </si>
  <si>
    <t>스킬이 삭제대기상태가 됨(아직 완전소멸은 아님)</t>
    <phoneticPr fontId="11" type="noConversion"/>
  </si>
  <si>
    <t>ENUM_EVENT_REMOVE_ABILITY</t>
  </si>
  <si>
    <t>키 눌림</t>
    <phoneticPr fontId="11" type="noConversion"/>
  </si>
  <si>
    <t>ENUM_EVENT_KEYPRESS</t>
  </si>
  <si>
    <t>아이템을 집음(아이템 더미유닛에 채널 사용)</t>
    <phoneticPr fontId="11" type="noConversion"/>
  </si>
  <si>
    <t>ENUM_EVENT_ITEM_PICK</t>
  </si>
  <si>
    <t>아이템이 삭제됨</t>
    <phoneticPr fontId="11" type="noConversion"/>
  </si>
  <si>
    <t>ENUM_EVENT_ITEM_DESTROY</t>
  </si>
  <si>
    <t>유닛관리그룹에서 제외</t>
    <phoneticPr fontId="11" type="noConversion"/>
  </si>
  <si>
    <t>ENUM_EVENT_UNREGISTER_GROUP</t>
  </si>
  <si>
    <t>레벨 변화</t>
    <phoneticPr fontId="11" type="noConversion"/>
  </si>
  <si>
    <t>ENUM_EVENT_LEVEL</t>
  </si>
  <si>
    <t>사망처리된 유닛이 다시 살아남</t>
    <phoneticPr fontId="11" type="noConversion"/>
  </si>
  <si>
    <t>ENUM_EVENT_REVIVE</t>
  </si>
  <si>
    <t>스킬 UI 새로고침 요청</t>
    <phoneticPr fontId="11" type="noConversion"/>
  </si>
  <si>
    <t>ENUM_EVENT_ABILITY_UI_REFRESH</t>
  </si>
  <si>
    <t>유닛이 사망처리됨</t>
    <phoneticPr fontId="11" type="noConversion"/>
  </si>
  <si>
    <t>ENUM_EVENT_DEATH</t>
  </si>
  <si>
    <t>에러가 발생함(에러메세지 출력용)</t>
    <phoneticPr fontId="11" type="noConversion"/>
  </si>
  <si>
    <t>ENUM_EVENT_ERROR</t>
  </si>
  <si>
    <t>유닛이 부패(완전제거)함</t>
    <phoneticPr fontId="11" type="noConversion"/>
  </si>
  <si>
    <t>ENUM_EVENT_DECAY</t>
  </si>
  <si>
    <t>투사체가 생성됨</t>
    <phoneticPr fontId="11" type="noConversion"/>
  </si>
  <si>
    <t>ENUM_EVENT_MISSILE_CREATE</t>
  </si>
  <si>
    <t>공격동작을 수행함</t>
    <phoneticPr fontId="11" type="noConversion"/>
  </si>
  <si>
    <t>ENUM_EVENT_ATTACK</t>
  </si>
  <si>
    <t>어빌리티를 사용함</t>
    <phoneticPr fontId="11" type="noConversion"/>
  </si>
  <si>
    <t>ENUM_EVENT_ABILITY_CAST</t>
  </si>
  <si>
    <t>어빌리티 시전을 예약하거나 거리 밖이라서 따라가기 명령이 내려질 때</t>
    <phoneticPr fontId="11" type="noConversion"/>
  </si>
  <si>
    <t>ENUM_EVENT_ABILITY_FOLLOW</t>
  </si>
  <si>
    <t>무기를 교체함</t>
    <phoneticPr fontId="11" type="noConversion"/>
  </si>
  <si>
    <t>ENUM_EVENT_WEAPON_CHANGE</t>
  </si>
  <si>
    <t>클릭함</t>
    <phoneticPr fontId="11" type="noConversion"/>
  </si>
  <si>
    <t>ENUM_EVENT_CLICK</t>
  </si>
  <si>
    <t>보호막을 적용하기 전에 최종 쉴드량을 변형하려함</t>
    <phoneticPr fontId="11" type="noConversion"/>
  </si>
  <si>
    <t>7.2</t>
    <phoneticPr fontId="3" type="noConversion"/>
  </si>
  <si>
    <t>ENUM_EVENT_SHIELD_LAST</t>
  </si>
  <si>
    <t>보호막을 적용하기 전에 기본 쉴드량을 변형하려함</t>
    <phoneticPr fontId="11" type="noConversion"/>
  </si>
  <si>
    <t>7.1</t>
    <phoneticPr fontId="3" type="noConversion"/>
  </si>
  <si>
    <t>ENUM_EVENT_SHIELD_MODIFY</t>
  </si>
  <si>
    <t>보호막을 적용하기 전에 임시로 스탯을 변형하려함</t>
    <phoneticPr fontId="11" type="noConversion"/>
  </si>
  <si>
    <t>7.0</t>
    <phoneticPr fontId="3" type="noConversion"/>
  </si>
  <si>
    <t>ENUM_EVENT_SHIELD_MODIFY_STAT</t>
  </si>
  <si>
    <t>유닛을 회복시키기 전에 최종 회복량을 변형하려함</t>
    <phoneticPr fontId="11" type="noConversion"/>
  </si>
  <si>
    <t>6.2</t>
    <phoneticPr fontId="3" type="noConversion"/>
  </si>
  <si>
    <t>ENUM_EVENT_HEAL_LAST</t>
  </si>
  <si>
    <t>유닛을 회복시키기 전에 기본 회복량을 변형하려함</t>
    <phoneticPr fontId="11" type="noConversion"/>
  </si>
  <si>
    <t>6.1</t>
    <phoneticPr fontId="3" type="noConversion"/>
  </si>
  <si>
    <t>ENUM_EVENT_HEAL_MODIFY</t>
  </si>
  <si>
    <t>유닛을 회복시키기 전에 임시로 스탯을 변형하려함</t>
    <phoneticPr fontId="11" type="noConversion"/>
  </si>
  <si>
    <t>ENUM_EVENT_HEAL_MODIFY_STAT</t>
  </si>
  <si>
    <t>데미지 이벤트 후 실제로 체력이 감소하기 전에 발생</t>
    <phoneticPr fontId="11" type="noConversion"/>
  </si>
  <si>
    <t>ENUM_EVENT_DAMAGE_BEFORE_HPREDUCE</t>
  </si>
  <si>
    <t>데미지 이벤트 후 실제로 체력이 감소함</t>
    <phoneticPr fontId="11" type="noConversion"/>
  </si>
  <si>
    <t>ENUM_EVENT_DAMAGE_AFTER_HPREDUCE</t>
  </si>
  <si>
    <t>데미지를 입히기 전에 최종 데미지량을 변형하려함</t>
    <phoneticPr fontId="11" type="noConversion"/>
  </si>
  <si>
    <t>ENUM_EVENT_DAMAGE_LAST</t>
  </si>
  <si>
    <t>데미지를 입히기 전에 기본 데미지량을 변형하려함</t>
    <phoneticPr fontId="11" type="noConversion"/>
  </si>
  <si>
    <t>ENUM_EVENT_DAMAGE_MODIFY</t>
  </si>
  <si>
    <t>데미지를 입히기 전에 임시로 스탯을 변형하려함(특정 피해를 입힐때에만 공격력이나 방어관통 등을 높게 설정해야 하는 경우)</t>
    <phoneticPr fontId="11" type="noConversion"/>
  </si>
  <si>
    <t>ENUM_EVENT_DAMAGE_MODIFY_STAT</t>
  </si>
  <si>
    <t>[최대치] 값들의 기본값</t>
    <phoneticPr fontId="11" type="noConversion"/>
  </si>
  <si>
    <t>ENUM_UNIT_CLASS_MAX_VALUE</t>
  </si>
  <si>
    <t>14//E</t>
    <phoneticPr fontId="3" type="noConversion"/>
  </si>
  <si>
    <t>ENUM_UNIT_CLASS_SIZE</t>
  </si>
  <si>
    <t>보스</t>
    <phoneticPr fontId="11" type="noConversion"/>
  </si>
  <si>
    <t>ENUM_UNIT_CLASS_BOSS</t>
  </si>
  <si>
    <t>포만감 최대치</t>
    <phoneticPr fontId="11" type="noConversion"/>
  </si>
  <si>
    <t>ENUM_UNIT_CLASS_POMANGAM_MAX</t>
  </si>
  <si>
    <t>포만감</t>
    <phoneticPr fontId="11" type="noConversion"/>
  </si>
  <si>
    <t>11</t>
    <phoneticPr fontId="3" type="noConversion"/>
  </si>
  <si>
    <t>포션중독 최대치</t>
    <phoneticPr fontId="11" type="noConversion"/>
  </si>
  <si>
    <t>ENUM_UNIT_CLASS_ADDICT_MAX</t>
  </si>
  <si>
    <t>포션중독</t>
    <phoneticPr fontId="11" type="noConversion"/>
  </si>
  <si>
    <t>9</t>
    <phoneticPr fontId="3" type="noConversion"/>
  </si>
  <si>
    <t>건물</t>
    <phoneticPr fontId="11" type="noConversion"/>
  </si>
  <si>
    <t>광물</t>
    <phoneticPr fontId="11" type="noConversion"/>
  </si>
  <si>
    <t>하수인</t>
    <phoneticPr fontId="11" type="noConversion"/>
  </si>
  <si>
    <t>소환물</t>
    <phoneticPr fontId="11" type="noConversion"/>
  </si>
  <si>
    <t>환영</t>
    <phoneticPr fontId="11" type="noConversion"/>
  </si>
  <si>
    <t>식물</t>
    <phoneticPr fontId="11" type="noConversion"/>
  </si>
  <si>
    <t>기계</t>
    <phoneticPr fontId="11" type="noConversion"/>
  </si>
  <si>
    <t>근거리도 원거리도 아님</t>
    <phoneticPr fontId="11" type="noConversion"/>
  </si>
  <si>
    <t>근거리 피해인지</t>
    <phoneticPr fontId="11" type="noConversion"/>
  </si>
  <si>
    <t>원거리 피해인지</t>
    <phoneticPr fontId="11" type="noConversion"/>
  </si>
  <si>
    <t>온힛판정이 아닌지</t>
    <phoneticPr fontId="11" type="noConversion"/>
  </si>
  <si>
    <t>온힛판정인지</t>
    <phoneticPr fontId="11" type="noConversion"/>
  </si>
  <si>
    <t>광역피해가 아닌지</t>
    <phoneticPr fontId="11" type="noConversion"/>
  </si>
  <si>
    <t>광역피해인지</t>
    <phoneticPr fontId="11" type="noConversion"/>
  </si>
  <si>
    <t>논타겟 데미지인지(대부분의 광역기, 도트데미지 효과)</t>
    <phoneticPr fontId="11" type="noConversion"/>
  </si>
  <si>
    <t>타겟팅 데미지인지</t>
    <phoneticPr fontId="11" type="noConversion"/>
  </si>
  <si>
    <t>내부피해</t>
    <phoneticPr fontId="11" type="noConversion"/>
  </si>
  <si>
    <t>외부피해</t>
    <phoneticPr fontId="11" type="noConversion"/>
  </si>
  <si>
    <t>지속피해인지</t>
    <phoneticPr fontId="11" type="noConversion"/>
  </si>
  <si>
    <t>단일대상</t>
    <phoneticPr fontId="11" type="noConversion"/>
  </si>
  <si>
    <t>7</t>
    <phoneticPr fontId="3" type="noConversion"/>
  </si>
  <si>
    <t>고정피해</t>
    <phoneticPr fontId="11" type="noConversion"/>
  </si>
  <si>
    <t>마법피해</t>
    <phoneticPr fontId="11" type="noConversion"/>
  </si>
  <si>
    <t>물리피해</t>
    <phoneticPr fontId="11" type="noConversion"/>
  </si>
  <si>
    <t>평타도 아니고 스킬도 아님(도트뎀, 추가피해 등)</t>
    <phoneticPr fontId="11" type="noConversion"/>
  </si>
  <si>
    <t>평타/스킬 복합여부</t>
    <phoneticPr fontId="11" type="noConversion"/>
  </si>
  <si>
    <t>스킬피해인지</t>
    <phoneticPr fontId="11" type="noConversion"/>
  </si>
  <si>
    <t>평타여부</t>
    <phoneticPr fontId="11" type="noConversion"/>
  </si>
  <si>
    <t>ENUM_STATUS_WHOKNOWS</t>
  </si>
  <si>
    <t>배열크기</t>
    <phoneticPr fontId="11" type="noConversion"/>
  </si>
  <si>
    <t>20//E</t>
    <phoneticPr fontId="3" type="noConversion"/>
  </si>
  <si>
    <t>ENUM_STATUS_SIZE</t>
  </si>
  <si>
    <t>이동기|돌진 사용중</t>
    <phoneticPr fontId="11" type="noConversion"/>
  </si>
  <si>
    <t>ENUM_STATUS_CHARGE</t>
  </si>
  <si>
    <t>더미유닛 표시(원본 유닛과 모델이 똑같은)</t>
    <phoneticPr fontId="11" type="noConversion"/>
  </si>
  <si>
    <t>로커스트상태</t>
    <phoneticPr fontId="11" type="noConversion"/>
  </si>
  <si>
    <t>중량화(넉백 면역)</t>
    <phoneticPr fontId="11" type="noConversion"/>
  </si>
  <si>
    <t>탑승</t>
    <phoneticPr fontId="11" type="noConversion"/>
  </si>
  <si>
    <t>고정</t>
    <phoneticPr fontId="11" type="noConversion"/>
  </si>
  <si>
    <t>시스템적 행동불가</t>
    <phoneticPr fontId="11" type="noConversion"/>
  </si>
  <si>
    <t>숨겨짐(안보임)</t>
    <phoneticPr fontId="11" type="noConversion"/>
  </si>
  <si>
    <t>충돌무시</t>
    <phoneticPr fontId="11" type="noConversion"/>
  </si>
  <si>
    <t>저지불가</t>
    <phoneticPr fontId="11" type="noConversion"/>
  </si>
  <si>
    <t>사망</t>
    <phoneticPr fontId="11" type="noConversion"/>
  </si>
  <si>
    <t>붙잡힘</t>
    <phoneticPr fontId="11" type="noConversion"/>
  </si>
  <si>
    <t>실명</t>
    <phoneticPr fontId="11" type="noConversion"/>
  </si>
  <si>
    <t>회피(외부피해, 충돌연산 제외)</t>
    <phoneticPr fontId="11" type="noConversion"/>
  </si>
  <si>
    <t>침묵</t>
    <phoneticPr fontId="11" type="noConversion"/>
  </si>
  <si>
    <t>무적</t>
    <phoneticPr fontId="11" type="noConversion"/>
  </si>
  <si>
    <t>스킬시전중</t>
    <phoneticPr fontId="11" type="noConversion"/>
  </si>
  <si>
    <t>무장해제</t>
    <phoneticPr fontId="11" type="noConversion"/>
  </si>
  <si>
    <t>속박</t>
    <phoneticPr fontId="11" type="noConversion"/>
  </si>
  <si>
    <t>기절</t>
    <phoneticPr fontId="11" type="noConversion"/>
  </si>
  <si>
    <t>6//E</t>
  </si>
  <si>
    <t>ENUM_STAT_INDEX_SIZE</t>
  </si>
  <si>
    <t>빼기값</t>
    <phoneticPr fontId="11" type="noConversion"/>
  </si>
  <si>
    <t>ENUM_STAT_INDEX_MINUS</t>
  </si>
  <si>
    <t>더하기값</t>
    <phoneticPr fontId="11" type="noConversion"/>
  </si>
  <si>
    <t>ENUM_STAT_INDEX_PLUS</t>
  </si>
  <si>
    <t>나누기값</t>
    <phoneticPr fontId="11" type="noConversion"/>
  </si>
  <si>
    <t>ENUM_STAT_INDEX_DIVIDE</t>
  </si>
  <si>
    <t>곱하기값</t>
    <phoneticPr fontId="11" type="noConversion"/>
  </si>
  <si>
    <t>ENUM_STAT_INDEX_MULTIPLY</t>
  </si>
  <si>
    <t>레벨당</t>
    <phoneticPr fontId="11" type="noConversion"/>
  </si>
  <si>
    <t>ENUM_STAT_INDEX_LEVEL</t>
  </si>
  <si>
    <t>기본값</t>
    <phoneticPr fontId="11" type="noConversion"/>
  </si>
  <si>
    <t>ENUM_STAT_INDEX_BASE</t>
  </si>
  <si>
    <t>금 보유량</t>
    <phoneticPr fontId="11" type="noConversion"/>
  </si>
  <si>
    <t>보호막</t>
    <phoneticPr fontId="11" type="noConversion"/>
  </si>
  <si>
    <t>남은마나</t>
    <phoneticPr fontId="11" type="noConversion"/>
  </si>
  <si>
    <t>남은체력</t>
    <phoneticPr fontId="11" type="noConversion"/>
  </si>
  <si>
    <t>잃은마나</t>
    <phoneticPr fontId="11" type="noConversion"/>
  </si>
  <si>
    <t>잃은체력</t>
    <phoneticPr fontId="11" type="noConversion"/>
  </si>
  <si>
    <t>마나</t>
    <phoneticPr fontId="11" type="noConversion"/>
  </si>
  <si>
    <t>체력</t>
    <phoneticPr fontId="11" type="noConversion"/>
  </si>
  <si>
    <t>상수값 하이라이팅 색상</t>
    <phoneticPr fontId="11" type="noConversion"/>
  </si>
  <si>
    <t>소환시간</t>
    <phoneticPr fontId="11" type="noConversion"/>
  </si>
  <si>
    <t>어빌리티 레벨</t>
    <phoneticPr fontId="11" type="noConversion"/>
  </si>
  <si>
    <t>유닛의 레벨</t>
    <phoneticPr fontId="11" type="noConversion"/>
  </si>
  <si>
    <t>22//E</t>
    <phoneticPr fontId="3" type="noConversion"/>
  </si>
  <si>
    <t>ENUM_STAT_SIZE</t>
  </si>
  <si>
    <t>통찰</t>
    <phoneticPr fontId="11" type="noConversion"/>
  </si>
  <si>
    <t>21</t>
    <phoneticPr fontId="3" type="noConversion"/>
  </si>
  <si>
    <t>탐욕</t>
    <phoneticPr fontId="11" type="noConversion"/>
  </si>
  <si>
    <t>매력(애정)</t>
    <phoneticPr fontId="11" type="noConversion"/>
  </si>
  <si>
    <t>노동력</t>
    <phoneticPr fontId="11" type="noConversion"/>
  </si>
  <si>
    <t>받는회복증폭</t>
    <phoneticPr fontId="11" type="noConversion"/>
  </si>
  <si>
    <t>마나젠</t>
    <phoneticPr fontId="11" type="noConversion"/>
  </si>
  <si>
    <t>체젠</t>
    <phoneticPr fontId="11" type="noConversion"/>
  </si>
  <si>
    <t>공격사거리</t>
    <phoneticPr fontId="11" type="noConversion"/>
  </si>
  <si>
    <t>행운</t>
    <phoneticPr fontId="11" type="noConversion"/>
  </si>
  <si>
    <t>공속</t>
    <phoneticPr fontId="11" type="noConversion"/>
  </si>
  <si>
    <t>이속</t>
    <phoneticPr fontId="11" type="noConversion"/>
  </si>
  <si>
    <t>주문가속(=쿨감)</t>
    <phoneticPr fontId="11" type="noConversion"/>
  </si>
  <si>
    <t>저항관통</t>
    <phoneticPr fontId="11" type="noConversion"/>
  </si>
  <si>
    <t>방어관통</t>
    <phoneticPr fontId="11" type="noConversion"/>
  </si>
  <si>
    <t>회피치</t>
    <phoneticPr fontId="11" type="noConversion"/>
  </si>
  <si>
    <t>명중치</t>
    <phoneticPr fontId="11" type="noConversion"/>
  </si>
  <si>
    <t>저항력</t>
    <phoneticPr fontId="11" type="noConversion"/>
  </si>
  <si>
    <t>주문력</t>
    <phoneticPr fontId="11" type="noConversion"/>
  </si>
  <si>
    <t>방어력</t>
    <phoneticPr fontId="11" type="noConversion"/>
  </si>
  <si>
    <t>공격력</t>
    <phoneticPr fontId="11" type="noConversion"/>
  </si>
  <si>
    <t>최대마나</t>
    <phoneticPr fontId="11" type="noConversion"/>
  </si>
  <si>
    <t>최대체력</t>
    <phoneticPr fontId="11" type="noConversion"/>
  </si>
  <si>
    <t>돌</t>
    <phoneticPr fontId="11" type="noConversion"/>
  </si>
  <si>
    <t>ENUM_UNIT_ARMOR_TYPE_STONE</t>
  </si>
  <si>
    <t>이더리얼</t>
    <phoneticPr fontId="11" type="noConversion"/>
  </si>
  <si>
    <t>ENUM_UNIT_ARMOR_TYPE_ETHREAL</t>
  </si>
  <si>
    <t>나무</t>
    <phoneticPr fontId="11" type="noConversion"/>
  </si>
  <si>
    <t>ENUM_UNIT_ARMOR_TYPE_WOOD</t>
  </si>
  <si>
    <t>금속</t>
    <phoneticPr fontId="11" type="noConversion"/>
  </si>
  <si>
    <t>ENUM_UNIT_ARMOR_TYPE_METAL</t>
  </si>
  <si>
    <t>살점</t>
    <phoneticPr fontId="11" type="noConversion"/>
  </si>
  <si>
    <t>ENUM_UNIT_ARMOR_TYPE_FLESH</t>
  </si>
  <si>
    <t>피격음 없음</t>
    <phoneticPr fontId="11" type="noConversion"/>
  </si>
  <si>
    <t>ENUM_UNIT_ARMOR_TYPE_WHOKNOWS</t>
  </si>
  <si>
    <t>ENUM_OBJECT_TYPE_INTERACTIVE</t>
  </si>
  <si>
    <t>ENUM_OBJECT_TYPE_UNIT</t>
  </si>
  <si>
    <t>description</t>
    <phoneticPr fontId="11" type="noConversion"/>
  </si>
  <si>
    <t>?</t>
    <phoneticPr fontId="3" type="noConversion"/>
  </si>
  <si>
    <t>BTNCultAssassin</t>
    <phoneticPr fontId="3" type="noConversion"/>
  </si>
  <si>
    <t>ENUM_UNIT_EXTRADATA_CAN_ATTACK_ALLY</t>
    <phoneticPr fontId="3" type="noConversion"/>
  </si>
  <si>
    <t>ENUM_UNIT_EXTRADATA_SIZE</t>
    <phoneticPr fontId="3" type="noConversion"/>
  </si>
  <si>
    <t>ENUM_UNIT_EXTRADATA_CANT_ATTACK_ENEMY</t>
    <phoneticPr fontId="3" type="noConversion"/>
  </si>
  <si>
    <t>CONFIG_UNIT_ATTACK_RANGE_DEFAULT</t>
    <phoneticPr fontId="3" type="noConversion"/>
  </si>
  <si>
    <t>CONFIG_UNIT_ATTACK_DELAY_DEFAULT</t>
    <phoneticPr fontId="3" type="noConversion"/>
  </si>
  <si>
    <t>WEAPON_CAN_ATTACK_ALLY</t>
    <phoneticPr fontId="3" type="noConversion"/>
  </si>
  <si>
    <t>WEAPON_CANT_ATTACK_ENEMY</t>
    <phoneticPr fontId="3" type="noConversion"/>
  </si>
  <si>
    <t>enum</t>
    <phoneticPr fontId="3" type="noConversion"/>
  </si>
  <si>
    <t>STAT_DEFENSE</t>
  </si>
  <si>
    <t>STAT_MAGICPOWER</t>
  </si>
  <si>
    <t>STAT_ATTACK</t>
  </si>
  <si>
    <t>STAT_MAXHP</t>
  </si>
  <si>
    <t>STAT_ACCURACY</t>
  </si>
  <si>
    <t>STAT_LUCK</t>
  </si>
  <si>
    <t>STAT_HPREGEN</t>
  </si>
  <si>
    <t>STAT_ATTACK_SPEED</t>
  </si>
  <si>
    <t>STAT_MAXMP</t>
  </si>
  <si>
    <t>DAMAGE_PHYSICAL</t>
  </si>
  <si>
    <t>DAMAGE_MAGICAL</t>
  </si>
  <si>
    <t>DAMAGE_UNDEFINED</t>
  </si>
  <si>
    <t>DAMAGE_SPELL</t>
  </si>
  <si>
    <t>DAMAGE_BASIC</t>
  </si>
  <si>
    <t>DAMAGE_ETC</t>
  </si>
  <si>
    <t>DAMAGE_SINGLE</t>
  </si>
  <si>
    <t>DAMAGE_PERIODIC</t>
  </si>
  <si>
    <t>DAMAGE_OUTTER</t>
  </si>
  <si>
    <t>DAMAGE_INNER</t>
  </si>
  <si>
    <t>DAMAGE_NONTARGET</t>
  </si>
  <si>
    <t>DAMAGE_TARGET</t>
  </si>
  <si>
    <t>DAMAGE_AOE</t>
  </si>
  <si>
    <t>DAMAGE_NONAOE</t>
  </si>
  <si>
    <t>DAMAGE_ONHIT</t>
  </si>
  <si>
    <t>DAMAGE_NONHIT</t>
  </si>
  <si>
    <t>DAMAGE_MELEE</t>
  </si>
  <si>
    <t>DAMAGE_RANGED</t>
  </si>
  <si>
    <t>STAT_EVASION</t>
  </si>
  <si>
    <t>STAT_RESISTANCE</t>
  </si>
  <si>
    <t>STAT_RODONG</t>
  </si>
  <si>
    <t>STAT_SPELL_BOOST</t>
  </si>
  <si>
    <t>STAT_ARMOR_PENET</t>
  </si>
  <si>
    <t>STAT_MAGIC_PENET</t>
  </si>
  <si>
    <t>STAT_GREED</t>
  </si>
  <si>
    <t>STAT_MPREGEN</t>
  </si>
  <si>
    <t>STAT_LOVE</t>
  </si>
  <si>
    <t>0.01</t>
    <phoneticPr fontId="3" type="noConversion"/>
  </si>
  <si>
    <t>물가에 사용하여 낚시를 시작합니다.</t>
  </si>
  <si>
    <t>지정 범위 내의 적들에게 &lt;cstring:DAMAGE_COLOR,DAMAGE_TYPE/&gt;&lt;real:2,2&gt;&lt;prop:DAMAGE_AMPLIFIER1/&gt;*&lt;statValue:DAMAGE_STAT1/&gt;*(1+&lt;prop:DAMAGE_PER_LEVEL/&gt;*&lt;skillLevel/&gt;)&lt;/real&gt;|r&lt;shift:DAMAGE_STAT1/&gt;의 피해를 입힙니다.</t>
  </si>
  <si>
    <t>지정한 방향으로 화염구를 발사하여 처음 적중한 대상과 주변의 적들에게 &lt;cstring:DAMAGE_COLOR,DAMAGE_TYPE/&gt;&lt;real:2,2&gt;&lt;prop:DAMAGE_AMPLIFIER1/&gt;*&lt;statValue:DAMAGE_STAT1/&gt;*(1+&lt;prop:DAMAGE_PER_LEVEL/&gt;*&lt;skillLevel/&gt;)&lt;/real&gt;|r&lt;shift:DAMAGE_STAT1/&gt;의 피해를 입힙니다.</t>
  </si>
  <si>
    <t>대상을 후려쳐 &lt;cstring:DAMAGE_COLOR,DAMAGE_TYPE/&gt;&lt;real:2,2&gt;(&lt;prop:DAMAGE_AMPLIFIER1/&gt;*&lt;statValue:DAMAGE_STAT1/&gt;+&lt;prop:DAMAGE_AMPLIFIER2/&gt;*&lt;statValue:DAMAGE_STAT2/&gt;)*(1+&lt;prop:DAMAGE_PER_LEVEL/&gt;*&lt;skillLevel/&gt;)&lt;/real&gt;|r&lt;shift:DAMAGE_STAT1/&gt;&lt;shift:DAMAGE_STAT2/&gt;의 피해를 입힙니다.</t>
  </si>
  <si>
    <t>검을 휘둘러 대상에게 &lt;cstring:DAMAGE_COLOR,DAMAGE_TYPE/&gt;&lt;real:2,2&gt;&lt;prop:DAMAGE_AMPLIFIER1/&gt;*&lt;statValue:DAMAGE_STAT1/&gt;*(1+&lt;prop:DAMAGE_PER_LEVEL/&gt;*&lt;skillLevel/&gt;)&lt;/real&gt;|r&lt;shift:DAMAGE_STAT1/&gt;의 피해를 입힙니다.</t>
  </si>
  <si>
    <t>대상을 짓눌러 &lt;cstring:DAMAGE_COLOR,DAMAGE_TYPE/&gt;&lt;real:2,2&gt;(&lt;prop:DAMAGE_AMPLIFIER1/&gt;*&lt;statValue:DAMAGE_STAT1/&gt;+&lt;prop:DAMAGE_AMPLIFIER2/&gt;*&lt;statValue:DAMAGE_STAT2/&gt;)*(1+&lt;prop:DAMAGE_PER_LEVEL/&gt;*&lt;skillLevel/&gt;)&lt;/real&gt;|r&lt;shift:DAMAGE_STAT1/&gt;&lt;shift:DAMAGE_STAT2/&gt;의 피해를 입힙니다.</t>
  </si>
  <si>
    <t>대상에게 가시를 발사하여 &lt;cstring:DAMAGE_COLOR,DAMAGE_TYPE/&gt;&lt;real:2,2&gt;&lt;prop:DAMAGE_AMPLIFIER1/&gt;*&lt;statValue:DAMAGE_STAT1/&gt;*(1+&lt;prop:DAMAGE_PER_LEVEL/&gt;*&lt;skillLevel/&gt;)&lt;/real&gt;|r&lt;shift:DAMAGE_STAT1/&gt;의 피해를 입힙니다.</t>
  </si>
  <si>
    <t>대상을 들이받아 &lt;cstring:DAMAGE_COLOR,DAMAGE_TYPE/&gt;&lt;real:2,2&gt;(&lt;prop:DAMAGE_AMPLIFIER1/&gt;*&lt;statValue:DAMAGE_STAT1/&gt;+&lt;prop:DAMAGE_AMPLIFIER2/&gt;*&lt;statValue:DAMAGE_STAT2/&gt;)*(1+&lt;prop:DAMAGE_PER_LEVEL/&gt;*&lt;skillLevel/&gt;)&lt;/real&gt;|r&lt;shift:DAMAGE_STAT1/&gt;&lt;shift:DAMAGE_STAT2/&gt;의 피해를 입힙니다.</t>
  </si>
  <si>
    <t>대상에게 화살을 발사하여 &lt;cstring:DAMAGE_COLOR,DAMAGE_TYPE/&gt;&lt;real:2,2&gt;&lt;prop:DAMAGE_AMPLIFIER1/&gt;*&lt;statValue:DAMAGE_STAT1/&gt;*(1+&lt;prop:DAMAGE_PER_LEVEL/&gt;*&lt;skillLevel/&gt;)&lt;/real&gt;|r&lt;shift:DAMAGE_STAT1/&gt;의 피해를 입힙니다.</t>
  </si>
  <si>
    <t>대상에게 &lt;cstring:DAMAGE_COLOR,DAMAGE_TYPE/&gt;&lt;real:2,2&gt;(&lt;prop:DAMAGE_AMPLIFIER1/&gt;*&lt;statValue:DAMAGE_STAT1/&gt;+&lt;prop:DAMAGE_AMPLIFIER2/&gt;*&lt;statValue:DAMAGE_STAT2/&gt;)*(1+&lt;prop:DAMAGE_PER_LEVEL/&gt;*&lt;skillLevel/&gt;)&lt;/real&gt;|r&lt;shift:DAMAGE_STAT1/&gt;&lt;shift:DAMAGE_STAT2/&gt;의 피해를 입힙니다.</t>
  </si>
  <si>
    <t>지정한 방향으로 돌진하여 충돌하는 적들에게 &lt;cstring:DAMAGE_COLOR,DAMAGE_TYPE/&gt;&lt;real:2,2&gt;&lt;prop:DAMAGE_AMPLIFIER1/&gt;*&lt;statValue:DAMAGE_STAT1/&gt;*(1+&lt;prop:DAMAGE_PER_LEVEL/&gt;*&lt;skillLevel/&gt;)&lt;/real&gt;|r&lt;shift:DAMAGE_STAT1/&gt;의 피해를 입힙니다.</t>
  </si>
  <si>
    <t>단검으로 공격해 대상에게 &lt;cstring:DAMAGE_COLOR,DAMAGE_TYPE/&gt;&lt;real:2,2&gt;&lt;prop:DAMAGE_AMPLIFIER1/&gt;*&lt;statValue:DAMAGE_STAT1/&gt;*(1+&lt;prop:DAMAGE_PER_LEVEL/&gt;*&lt;skillLevel/&gt;)&lt;/real&gt;|r&lt;shift:DAMAGE_STAT1/&gt;의 피해를 입힙니다.</t>
  </si>
  <si>
    <t>대상에게 뛰어들어 &lt;cstring:DAMAGE_COLOR,DAMAGE_TYPE/&gt;&lt;real:2,2&gt;&lt;prop:DAMAGE_AMPLIFIER1/&gt;*&lt;statValue:DAMAGE_STAT1/&gt;*(1+&lt;prop:DAMAGE_PER_LEVEL/&gt;*&lt;skillLevel/&gt;)&lt;/real&gt;|r&lt;shift:DAMAGE_STAT1/&gt;의 피해를 입힙니다.</t>
  </si>
  <si>
    <t>대상에게 달려들어 &lt;cstring:DAMAGE_COLOR,DAMAGE_TYPE/&gt;&lt;real:2,2&gt;&lt;prop:DAMAGE_AMPLIFIER1/&gt;*&lt;statValue:DAMAGE_STAT1/&gt;*(1+&lt;prop:DAMAGE_PER_LEVEL/&gt;*&lt;skillLevel/&gt;)&lt;/real&gt;|r&lt;shift:DAMAGE_STAT1/&gt;의 피해를 입힌 뒤 다시 후퇴합니다.</t>
  </si>
  <si>
    <t>직선 범위 내의 적들에게 &lt;cstring:DAMAGE_COLOR,DAMAGE_TYPE/&gt;&lt;real:2,2&gt;&lt;prop:DAMAGE_AMPLIFIER1/&gt;*&lt;statValue:DAMAGE_STAT1/&gt;*(1+&lt;prop:DAMAGE_PER_LEVEL/&gt;*&lt;skillLevel/&gt;)&lt;/real&gt;|r&lt;shift:DAMAGE_STAT1/&gt;의 피해를 입힙니다. 스킬 버튼을 길게 누를 시 사거리가 증가합니다.</t>
  </si>
  <si>
    <t>선택한 지점으로 도약하여 착지 시 주변 적들에게 &lt;cstring:DAMAGE_COLOR,DAMAGE_TYPE/&gt;&lt;real:2,2&gt;(&lt;prop:DAMAGE_AMPLIFIER1/&gt;*&lt;statValue:DAMAGE_STAT1/&gt;+&lt;prop:DAMAGE_AMPLIFIER2/&gt;*&lt;statValue:DAMAGE_STAT2/&gt;)*(1+&lt;prop:DAMAGE_PER_LEVEL/&gt;*&lt;skillLevel/&gt;)&lt;/real&gt;|r&lt;shift:DAMAGE_STAT1/&gt;&lt;shift:DAMAGE_STAT2/&gt;의 피해를 입힙니다.</t>
  </si>
  <si>
    <t>대상에게 &lt;cstring:DAMAGE_COLOR,DAMAGE_TYPE/&gt;&lt;real:2,2&gt;&lt;prop:DAMAGE_AMPLIFIER1/&gt;*&lt;statValue:DAMAGE_STAT1/&gt;*(1+&lt;prop:DAMAGE_PER_LEVEL/&gt;*&lt;skillLevel/&gt;)&lt;/real&gt;|r&lt;shift:DAMAGE_STAT1/&gt;의 피해를 입히는 창을 던집니다. 빈 땅을 우클릭하면 창을 던진 뒤 지정한 방향으로 짧은 거리 도약합니다.</t>
  </si>
  <si>
    <t>갈고리를 던져 처음 맞는 적에게 &lt;cstring:DAMAGE_COLOR,DAMAGE_TYPE/&gt;&lt;real:2,2&gt;&lt;prop:DAMAGE_AMPLIFIER1/&gt;*&lt;statValue:DAMAGE_STAT1/&gt;*(1+&lt;prop:DAMAGE_PER_LEVEL/&gt;*&lt;skillLevel/&gt;)&lt;/real&gt;|r&lt;shift:DAMAGE_STAT1/&gt;의 피해를 입히고 시전자 앞으로 끌어옵니다.</t>
  </si>
  <si>
    <t>지정 경로 내의 적들에게 &lt;cstring:DAMAGE_COLOR,DAMAGE_TYPE/&gt;&lt;real:2,2&gt;&lt;prop:DAMAGE_AMPLIFIER1/&gt;*&lt;statValue:DAMAGE_STAT1/&gt;*(1+&lt;prop:DAMAGE_PER_LEVEL/&gt;*&lt;skillLevel/&gt;)&lt;/real&gt;|r&lt;shift:DAMAGE_STAT1/&gt;의 피해를 입힙니다.</t>
  </si>
  <si>
    <t>지정한 방향으로 약진하여 충돌하는 대상과 대상 주변의 적들에게 &lt;cstring:DAMAGE_COLOR,DAMAGE_TYPE/&gt;&lt;real:2,2&gt;&lt;prop:DAMAGE_AMPLIFIER1/&gt;*&lt;statValue:DAMAGE_STAT1/&gt;*(1+&lt;prop:DAMAGE_PER_LEVEL/&gt;*&lt;skillLevel/&gt;)&lt;/real&gt;|r&lt;shift:DAMAGE_STAT1/&gt;의 피해를 입히고 밀쳐냅니다. 가장 가까운 적에게는 &lt;cstring:STAT_COLOR,$STAT_CONSTANT/&gt;&lt;percent:DAMAGE_PRIMARY/&gt;|r의 피해를 입힙니다.</t>
  </si>
  <si>
    <t>&lt;cstring:STAT_COLOR,$STAT_CONSTANT/&gt;&lt;second:DELAY/&gt;|r 동안 정신집중 후 대상에게 &lt;cstring:DAMAGE_COLOR,DAMAGE_TYPE/&gt;&lt;real:2,2&gt;&lt;prop:DAMAGE_AMPLIFIER1/&gt;*&lt;statValue:DAMAGE_STAT1/&gt;*&lt;statValue:DAMAGE_STAT2/&gt;*(1+&lt;prop:DAMAGE_PER_LEVEL/&gt;*&lt;skillLevel/&gt;)&lt;/real&gt;|r&lt;shift:DAMAGE_STAT1/&gt;의 피해를 입힙니다.&lt;br/&gt;&lt;br/&gt;&lt;cstring:STAT_COLOR,#999999/&gt;고정된 공격속도를 가집니다.|r</t>
  </si>
  <si>
    <t>대상을 포함한 최대 &lt;cstring:STAT_COLOR,$STAT_CONSTANT/&gt;&lt;propString:TARGET_MAX/&gt;기|r의 적들에게 &lt;cstring:DAMAGE_COLOR,DAMAGE_TYPE/&gt;&lt;real:2,2&gt;&lt;prop:DAMAGE_AMPLIFIER1/&gt;*&lt;statValue:DAMAGE_STAT1/&gt;*(1+&lt;prop:DAMAGE_PER_LEVEL/&gt;*&lt;skillLevel/&gt;)&lt;/real&gt;|r&lt;shift:DAMAGE_STAT1/&gt;의 피해를 입힙니다.&lt;br/&gt;첫 대상에게는 피해량이 &lt;cstring:DAMAGE_COLOR,DAMAGE_STAT2/&gt;&lt;real:2,2&gt;&lt;prop:DAMAGE_AMPLIFIER2/&gt;*&lt;statValue:DAMAGE_STAT2/&gt;*(1+&lt;prop:DAMAGE_PER_LEVEL/&gt;*&lt;skillLevel/&gt;)&lt;/real&gt;|r&lt;shift:DAMAGE_STAT2/&gt; 증가합니다.</t>
  </si>
  <si>
    <t>선택한 지점으로 순간이동 합니다.&lt;br/&gt;&lt;br/&gt; - 다른 행동 중에도 사용할 수 있습니다.&lt;br/&gt; - 스킬 레벨에 비례해 재사용 대기시간이 감소합니다.&lt;br/&gt; - &lt;cstring:STATUS_COLOR,$STATUS_RIDING/&gt;&lt;cstring:STATUS_NAME,$STATUS_RIDING/&gt;|r 상태에서 사용 시 해당 &lt;cstring:STATUS_COLOR,$STATUS_RIDING/&gt;&lt;cstring:STATUS_NAME,$STATUS_RIDING/&gt;|r 효과가 취소됩니다.</t>
  </si>
  <si>
    <t>지정한 위치로 순간이동한 뒤 경로상의 적들에게 &lt;cstring:DAMAGE_COLOR,DAMAGE_TYPE/&gt;&lt;real:2,2&gt;(&lt;prop:DAMAGE_AMPLIFIER1/&gt;*&lt;statValue:DAMAGE_STAT1/&gt;+&lt;prop:DAMAGE_AMPLIFIER2/&gt;*&lt;statValue:DAMAGE_STAT2/&gt;)*(1+&lt;prop:DAMAGE_PER_LEVEL/&gt;*&lt;skillLevel/&gt;)&lt;/real&gt;|r&lt;shift:DAMAGE_STAT1/&gt;&lt;shift:DAMAGE_STAT2/&gt;의 피해를 입힙니다. 한 기 이상의 적에게 적중하면 &lt;cstring:STAT_COLOR,$STAT_MP/&gt;&lt;cstring:STAT_NAME,$STAT_MP/&gt;를 &lt;real:1,1&gt;&lt;prop:DATA_REAL1/&gt;&lt;/real&gt;|r 회복합니다.</t>
  </si>
  <si>
    <t>지정한 방향으로 &lt;cstring:STAT_COLOR,$STAT_CONSTANT/&gt;&lt;propString:COUNT/&gt;개|r의 화살을 일제히 발사하여 처음 맞힌 적에게 각각 &lt;cstring:DAMAGE_COLOR,DAMAGE_TYPE/&gt;&lt;real:2,2&gt;&lt;prop:DAMAGE_AMPLIFIER1/&gt;*&lt;statValue:DAMAGE_STAT1/&gt;*(1+&lt;prop:DAMAGE_PER_LEVEL/&gt;*&lt;skillLevel/&gt;)&lt;/real&gt;|r&lt;shift:DAMAGE_STAT1/&gt;의 피해를 입힙니다. 같은 유닛에 여러 화살을 맞추는 경우 두 번째 화살부터 &lt;cstring:STAT_COLOR,$STAT_CONSTANT/&gt;&lt;percent:DAMAGE_SECONDARY/&gt;|r의 피해를 입힙니다.</t>
  </si>
  <si>
    <t>그물을 던져 처음 적중한 적에게 &lt;cstring:DAMAGE_COLOR,DAMAGE_TYPE/&gt;&lt;real:2,2&gt;&lt;prop:DAMAGE_AMPLIFIER1/&gt;*&lt;statValue:DAMAGE_STAT1/&gt;*(1+&lt;prop:DAMAGE_PER_LEVEL/&gt;*&lt;skillLevel/&gt;)&lt;/real&gt;|r&lt;shift:DAMAGE_STAT1/&gt;의 피해를 입힙니다. 적중당한 대상은 &lt;cstring:STAT_COLOR,$STAT_CONSTANT/&gt;&lt;second:DURATION/&gt;|r 동안 &lt;cstring:STAT_COLOR,$STAT_EVASION/&gt;&lt;cstring:STAT_NAME,$STAT_EVASION/&gt;|r&lt;cstring:STAT_COLOR,$STAT_EVASION/&gt;가 &lt;real:2,2&gt;&lt;prop:%(BUFF_ID1)DAMAGE_AMPLIFIER1/&gt;*&lt;statValue:%(BUFF_ID1)DAMAGE_STAT1/&gt;*(1+&lt;prop:%(BUFF_ID1)DAMAGE_PER_LEVEL/&gt;*&lt;skillLevel/&gt;)&lt;/real&gt;|r 감소하고 &lt;cstring:STAT_COLOR,$STAT_MOVEMENT_SPEED/&gt;&lt;cstring:STAT_NAME,$STAT_MOVEMENT_SPEED/&gt;|r&lt;cstring:STAT_COLOR,$STAT_MOVEMENT_SPEED/&gt;가 &lt;percent:%(BUFF_ID1)DATA_REAL1/&gt;|r 감소하며 이동기 사용이 제한됩니다.</t>
  </si>
  <si>
    <t>대상에게 &lt;cstring:STAT_COLOR,$STAT_CONSTANT/&gt;2개|r의 도끼를 던져 각각 &lt;cstring:DAMAGE_COLOR,DAMAGE_TYPE/&gt;&lt;real:2,2&gt;&lt;prop:DAMAGE_AMPLIFIER1/&gt;*&lt;statValue:DAMAGE_STAT1/&gt;*(1+&lt;prop:DAMAGE_PER_LEVEL/&gt;*&lt;skillLevel/&gt;)&lt;/real&gt;|r&lt;shift:DAMAGE_STAT1/&gt;의 피해를 입힙니다.</t>
  </si>
  <si>
    <t>대상을 향해 &lt;cstring:STAT_COLOR,$STAT_CONSTANT/&gt;3발|r의 탄환을 발사하여 각각 처음 적중하는 적에게 &lt;cstring:DAMAGE_COLOR,DAMAGE_TYPE/&gt;&lt;real:2,2&gt;&lt;prop:DAMAGE_AMPLIFIER1/&gt;*&lt;statValue:DAMAGE_STAT1/&gt;*(1+&lt;prop:DAMAGE_PER_LEVEL/&gt;*&lt;skillLevel/&gt;)&lt;/real&gt;|r&lt;shift:DAMAGE_STAT1/&gt;의 피해를 입힙니다.&lt;br/&gt;&lt;br/&gt; - 첫 탄환만 적중 시 발생효과를 발생시킵니다.</t>
  </si>
  <si>
    <t>주변의 적들에게 &lt;cstring:DAMAGE_COLOR,DAMAGE_TYPE/&gt;&lt;real:2,2&gt;(&lt;prop:DAMAGE_AMPLIFIER1/&gt;*&lt;statValue:DAMAGE_STAT1/&gt;+&lt;prop:DAMAGE_AMPLIFIER2/&gt;*&lt;statValue:DAMAGE_STAT2/&gt;)*(1+&lt;prop:DAMAGE_PER_LEVEL/&gt;*&lt;skillLevel/&gt;)&lt;/real&gt;|r&lt;shift:DAMAGE_STAT1/&gt;&lt;shift:DAMAGE_STAT2/&gt;의 피해를 입힙니다. &lt;cstring:STATUS_COLOR,$STATUS_RIDING/&gt;&lt;cstring:STATUS_NAME,$STATUS_RIDING/&gt;|r 상태에서 사용 시 탑승물의 위치를 기준으로 사용합니다.</t>
  </si>
  <si>
    <t>&lt;cstring:STAT_COLOR,$STAT_CONSTANT/&gt;레벨 &lt;int&gt;1*&lt;skillLevel/&gt;&lt;/int&gt;|r &lt;unitInfo:UNIT_ID1/&gt;를 건설합니다. &lt;propString:&amp;(UNIT_ID1)NAME/&gt;는 &lt;cstring:DAMAGE_COLOR,$DAMAGE_BASIC/&gt;&lt;cstring:DAMAGE_NAME,$DAMAGE_BASIC/&gt;공격으로 가하는 피해가 &lt;percent:DATA_REAL2/&gt;|r 증가하고 &lt;cstring:STAT_COLOR,$STAT_SUMMON_DURATION/&gt;&lt;second:DURATION/&gt;|r 동안 지속됩니다.&lt;br/&gt;&lt;br/&gt;&lt;cstring:STAT_COLOR,#00ffff/&gt;&lt;propString:&amp;(UNIT_ID1)NAME/&gt; 사용 무기 : |r&lt;cstring:STAT_COLOR,$STAT_CONSTANT/&gt;레벨 &lt;int&gt;1*&lt;skillLevel/&gt;&lt;/int&gt; &lt;abilityInfo:&amp;(UNIT_ID1)INITIAL_ABILITY1/&gt;|r</t>
  </si>
  <si>
    <t>대상을 포함한 최대 &lt;cstring:STAT_COLOR,$STAT_CONSTANT/&gt;&lt;propString:TARGET_MAX/&gt;기|r의 적들에게 &lt;cstring:DAMAGE_COLOR,DAMAGE_TYPE/&gt;&lt;real:2,2&gt;&lt;prop:DAMAGE_AMPLIFIER1/&gt;*&lt;statValue:DAMAGE_STAT1/&gt;*(1+&lt;prop:DAMAGE_PER_LEVEL/&gt;*&lt;skillLevel/&gt;)&lt;/real&gt;|r&lt;shift:DAMAGE_STAT1/&gt;의 피해를 입힙니다.&lt;br/&gt;첫 대상에게는 피해량이 &lt;cstring:DAMAGE_COLOR,DAMAGE_STAT2/&gt;&lt;real:2,2&gt;&lt;prop:DAMAGE_AMPLIFIER2/&gt;*&lt;statValue:DAMAGE_STAT2/&gt;*(1+&lt;prop:DAMAGE_PER_LEVEL/&gt;*&lt;skillLevel/&gt;)&lt;/real&gt;|r&lt;shift:DAMAGE_STAT2/&gt; 증가합니다.&lt;br/&gt;&lt;br/&gt;- 첫 대상에게만 적중 시 발생효과를 발생시킵니다.</t>
  </si>
  <si>
    <t>대상에게 금화를 던져 &lt;cstring:DAMAGE_COLOR,DAMAGE_TYPE/&gt;&lt;real:2,2&gt;&lt;prop:DAMAGE_AMPLIFIER1/&gt;*&lt;statValue:DAMAGE_STAT1/&gt;*(1+&lt;prop:DAMAGE_PER_LEVEL/&gt;*&lt;skillLevel/&gt;)&lt;/real&gt;|r&lt;shift:DAMAGE_STAT1/&gt;의 피해를 입히고 &lt;lucky:DATA_REAL1,DATA_REAL2/&gt; 확률로 &lt;cstring:STAT_COLOR,$STAT_GOLD/&gt;&lt;cstring:STAT_NAME,$STAT_GOLD/&gt;를 &lt;propString:DATA_INTEGER1/&gt;|r 획득합니다.</t>
  </si>
  <si>
    <t>대상에게 &lt;cstring:DAMAGE_COLOR,DAMAGE_TYPE/&gt;&lt;real:2,2&gt;&lt;prop:DAMAGE_AMPLIFIER1/&gt;*&lt;statValue:DAMAGE_STAT1/&gt;*(1+&lt;prop:DAMAGE_PER_LEVEL/&gt;*&lt;skillLevel/&gt;)&lt;/real&gt;|r&lt;shift:DAMAGE_STAT1/&gt;의 피해를 입히는 거미뗴를 날립니다. 적중당한 대상은 &lt;cstring:STAT_COLOR,$STAT_CONSTANT/&gt;&lt;second:DURATION/&gt;|r 동안 &lt;cstring:STAT_COLOR,$STAT_ATTACK/&gt;&lt;cstring:STAT_NAME,$STAT_ATTACK/&gt;|r&lt;cstring:STAT_COLOR,$STAT_ATTACK/&gt;이 &lt;real:2,2&gt;&lt;prop:%(BUFF_ID1)DAMAGE_AMPLIFIER1/&gt;*&lt;statValue:%(BUFF_ID1)DAMAGE_STAT1/&gt;*(1+&lt;prop:%(BUFF_ID1)DAMAGE_PER_LEVEL/&gt;*&lt;skillLevel/&gt;)&lt;/real&gt;|r 감소하고 &lt;cstring:STAT_COLOR,$STAT_MOVEMENT_SPEED/&gt;&lt;cstring:STAT_NAME,$STAT_MOVEMENT_SPEED/&gt;|r&lt;cstring:STAT_COLOR,$STAT_MOVEMENT_SPEED/&gt;가 &lt;propString:%(BUFF_ID1)DATA_REAL1/&gt;|r 감소합니다.&lt;br/&gt;&lt;br/&gt; - 해당 약화효과는 중첩됩니다.</t>
  </si>
  <si>
    <t>대상에게 &lt;cstring:DAMAGE_COLOR,DAMAGE_TYPE/&gt;&lt;real:2,2&gt;&lt;prop:DAMAGE_AMPLIFIER1/&gt;*&lt;statValue:DAMAGE_STAT1/&gt;*(1+&lt;prop:DAMAGE_PER_LEVEL/&gt;*&lt;skillLevel/&gt;)&lt;/real&gt;|r&lt;shift:DAMAGE_STAT1/&gt;의 피해를 입히는 투사체를 발사합니다. 적중 시 &lt;cstring:STAT_COLOR,$STAT_MP/&gt;&lt;cstring:STAT_NAME,$STAT_MP/&gt;|r&lt;cstring:STAT_COLOR,$STAT_MP/&gt;를 &lt;real:1,1&gt;&lt;statValue:DAMAGE_STAT2/&gt;*&lt;prop:DATA_REAL1/&gt;&lt;/real&gt;|r 회복합니다.</t>
  </si>
  <si>
    <t>대상에게 &lt;cstring:DAMAGE_COLOR,DAMAGE_TYPE/&gt;&lt;real:2,2&gt;(&lt;prop:DAMAGE_AMPLIFIER1/&gt;*&lt;statValue:DAMAGE_STAT1/&gt;+&lt;prop:DAMAGE_AMPLIFIER2/&gt;*&lt;statValue:DAMAGE_STAT2/&gt;)*(1+&lt;prop:DAMAGE_PER_LEVEL/&gt;*&lt;skillLevel/&gt;)&lt;/real&gt;|r&lt;shift:DAMAGE_STAT1/&gt;&lt;shift:DAMAGE_STAT2/&gt;의 피해를 입힙니다. 대상은 &lt;cstring:STAT_COLOR,$STAT_CONSTANT/&gt;&lt;second:DURATION/&gt;|r 동안 &lt;cstring:STAT_COLOR,$STAT_MAXHP/&gt;&lt;cstring:STAT_NAME,$STAT_MAXHP/&gt;|r&lt;cstring:STAT_COLOR,$STAT_MAXHP/&gt;이 &lt;real:2,2&gt;&lt;prop:%(BUFF_ID1)DAMAGE_AMPLIFIER1/&gt;*&lt;statValue:%(BUFF_ID1)DAMAGE_STAT1/&gt;*(1+&lt;prop:%(BUFF_ID1)DAMAGE_PER_LEVEL/&gt;*&lt;skillLevel/&gt;)&lt;/real&gt;|r 감소합니다.&lt;br/&gt;&lt;br/&gt; - 해당 약화효과는 중첩됩니다.</t>
  </si>
  <si>
    <t>대상에게 &lt;cstring:DAMAGE_COLOR,DAMAGE_TYPE/&gt;&lt;real:2,2&gt;&lt;prop:DAMAGE_AMPLIFIER1/&gt;*&lt;statValue:DAMAGE_STAT1/&gt;*(1+&lt;prop:DAMAGE_PER_LEVEL/&gt;*&lt;skillLevel/&gt;)&lt;/real&gt;|r&lt;shift:DAMAGE_STAT1/&gt;의 피해를 입힙니다. &lt;cstring:UNIT_CLASS_COLOR,$UNIT_CLASS_MINERAL/&gt;&lt;cstring:UNIT_CLASS_NAME,$UNIT_CLASS_MINERAL/&gt;|r타입의 적에게는 &lt;cstring:DAMAGE_COLOR,DAMAGE_TYPE/&gt;&lt;real:2,2&gt;&lt;prop:DAMAGE_SECONDARY/&gt;*&lt;prop:DAMAGE_AMPLIFIER1/&gt;*&lt;statValue:DAMAGE_STAT1/&gt;*(1+&lt;prop:DAMAGE_PER_LEVEL/&gt;*&lt;skillLevel/&gt;)&lt;/real&gt;|r&lt;shift:DAMAGE_STAT1/&gt;의 피해를 입힙니다.</t>
  </si>
  <si>
    <t>&lt;cstring:STAT_COLOR,$STAT_CONSTANT/&gt;&lt;second:DURATION/&gt;|r 동안 &lt;cstring:STAT_COLOR,$STAT_ATTACK_SPEED/&gt;&lt;cstring:STAT_NAME,$STAT_ATTACK_SPEED/&gt;|r&lt;cstring:STAT_COLOR,$STAT_ATTACK_SPEED/&gt;가 &lt;percent:%(BUFF_ID1)DATA_REAL1/&gt;|r, &lt;cstring:STAT_COLOR,$STAT_MOVEMENT_SPEED/&gt;&lt;cstring:STAT_NAME,$STAT_MOVEMENT_SPEED/&gt;|r&lt;cstring:STAT_COLOR,$STAT_MOVEMENT_SPEED/&gt;가 &lt;percent:%(BUFF_ID1)DATA_REAL2/&gt;|r 증가하며 &lt;cstring:DAMAGE_COLOR,$DAMAGE_BASIC/&gt;&lt;cstring:DAMAGE_NAME,$DAMAGE_BASIC/&gt;|r&lt;cstring:DAMAGE_COLOR,$DAMAGE_BASIC/&gt;공격의 적중 피해량이 &lt;real:2,2&gt;&lt;prop:%(BUFF_ID1)DAMAGE_AMPLIFIER1/&gt;*&lt;statValue:%(BUFF_ID1)DAMAGE_STAT1/&gt;*(1+&lt;prop:%(BUFF_ID1)DAMAGE_PER_LEVEL/&gt;*&lt;skillLevel/&gt;)&lt;/real&gt;|r&lt;shift:%(BUFF_ID1)DAMAGE_STAT1/&gt;증가합니다.</t>
  </si>
  <si>
    <t>주변의 적들을 무자비하게 도륙하여 &lt;cstring:STAT_COLOR,$STAT_CONSTANT/&gt;&lt;second:INTERVAL/&gt;|r 마다 &lt;cstring:DAMAGE_COLOR,DAMAGE_TYPE/&gt;&lt;real:2,2&gt;&lt;prop:DAMAGE_AMPLIFIER1/&gt;*&lt;statValue:DAMAGE_STAT1/&gt;*(1+&lt;prop:DAMAGE_PER_LEVEL/&gt;*&lt;skillLevel/&gt;)&lt;/real&gt;|r&lt;shift:DAMAGE_STAT1/&gt;의 피해를 입힙니다. 총 &lt;cstring:STAT_COLOR,$STAT_CONSTANT/&gt;&lt;propString:COUNT/&gt;회|r 공격합니다.</t>
  </si>
  <si>
    <t>대상에게 &lt;cstring:STAT_COLOR,$STAT_CONSTANT/&gt;&lt;real:2,2&gt;&lt;prop:DAMAGE_AMPLIFIER1/&gt;*&lt;statValue:DAMAGE_STAT1/&gt;*(1+&lt;prop:DAMAGE_PER_LEVEL/&gt;*&lt;skillLevel/&gt;)&lt;/real&gt;|r&lt;shift:DAMAGE_STAT1/&gt;의 피해를 입히는 무작위 카드를 투척합니다. &lt;lucky:DATA_REAL1,DATA_REAL2/&gt; 확률로 한 장의 카드를 추가로 투척합니다. 피해유형과 공격유형이 카드의 색깔에 따라 달라집니다.&lt;br/&gt;&lt;br/&gt;&lt;cstring:STAT_COLOR,#ff0000/&gt;빨간색 카드 : |r&lt;cstring:DAMAGE_COLOR,$DAMAGE_PHYSICAL/&gt;&lt;cstring:DAMAGE_NAME,$DAMAGE_PHYSICAL/&gt;|r, &lt;cstring:DAMAGE_COLOR,$DAMAGE_BASIC/&gt;&lt;cstring:DAMAGE_NAME,$DAMAGE_BASIC/&gt;|r&lt;br/&gt;&lt;cstring:STAT_COLOR,#3333ff/&gt;파란색 카드 : |r&lt;cstring:DAMAGE_COLOR,$DAMAGE_MAGICAL/&gt;&lt;cstring:DAMAGE_NAME,$DAMAGE_MAGICAL/&gt;|r, &lt;cstring:DAMAGE_COLOR,$DAMAGE_BASIC/&gt;&lt;cstring:DAMAGE_NAME,$DAMAGE_BASIC/&gt;|r&lt;br/&gt;&lt;cstring:STAT_COLOR,#ffff00/&gt;황금색 카드 : |r&lt;cstring:DAMAGE_COLOR,$DAMAGE_PHYSICAL/&gt;&lt;cstring:DAMAGE_NAME,$DAMAGE_PHYSICAL/&gt;|r, &lt;cstring:DAMAGE_COLOR,$DAMAGE_SPELL/&gt;&lt;cstring:DAMAGE_NAME,$DAMAGE_SPELL/&gt;|r&lt;br/&gt;&lt;cstring:STAT_COLOR,#ff00ff/&gt;보라색 카드 : |r&lt;cstring:DAMAGE_COLOR,$DAMAGE_MAGICAL/&gt;&lt;cstring:DAMAGE_NAME,$DAMAGE_MAGICAL/&gt;|r, &lt;cstring:DAMAGE_COLOR,$DAMAGE_SPELL/&gt;&lt;cstring:DAMAGE_NAME,$DAMAGE_SPELL/&gt;|r</t>
  </si>
  <si>
    <t>지정한 방향으로 수리검 &lt;cstring:STAT_COLOR,$STAT_CONSTANT/&gt;&lt;propString:COUNT/&gt;개|r를 투척하여 적중 시 각각 &lt;cstring:DAMAGE_COLOR,DAMAGE_TYPE/&gt;&lt;real:2,2&gt;(&lt;prop:DAMAGE_AMPLIFIER1/&gt;*&lt;statValue:DAMAGE_STAT1/&gt;+&lt;prop:DAMAGE_AMPLIFIER2/&gt;*&lt;statValue:DAMAGE_STAT2/&gt;)*(1+&lt;prop:DAMAGE_PER_LEVEL/&gt;*&lt;skillLevel/&gt;)&lt;/real&gt;|r&lt;shift:DAMAGE_STAT1/&gt;&lt;shift:DAMAGE_STAT2/&gt;의 피해를 입힙니다. 최대 &lt;cstring:STAT_COLOR,$STAT_CONSTANT/&gt;&lt;propString:CHARGE/&gt;회|r 충전됩니다.&lt;br/&gt;&lt;br/&gt; - 사용 중에 움직일 수 있습니다.</t>
  </si>
  <si>
    <t>대상에게 &lt;cstring:DAMAGE_COLOR,DAMAGE_TYPE/&gt;&lt;real:2,2&gt;&lt;prop:DAMAGE_AMPLIFIER1/&gt;*&lt;statValue:DAMAGE_STAT1/&gt;*(1+&lt;prop:DAMAGE_PER_LEVEL/&gt;*&lt;skillLevel/&gt;)&lt;/real&gt;|r&lt;shift:DAMAGE_STAT1/&gt;의 피해를 입힙니다. &lt;cstring:STAT_COLOR,$STAT_CONSTANT/&gt;&lt;propString:COUNT/&gt;번째|r 공격은 &lt;cstring:STAT_COLOR,$STAT_CONSTANT/&gt;&lt;second:DURATION/&gt;|r 동안 대상을 불태워 매 초 &lt;cstring:DAMAGE_COLOR,%(BUFF_ID1)DAMAGE_TYPE/&gt;&lt;real:2,2&gt;&lt;prop:%(BUFF_ID1)DAMAGE_AMPLIFIER1/&gt;*&lt;statValue:%(BUFF_ID1)DAMAGE_STAT1/&gt;*(1+&lt;prop:%(BUFF_ID1)DAMAGE_PER_LEVEL/&gt;*&lt;skillLevel/&gt;)&lt;/real&gt;|r&lt;shift:%(BUFF_ID1)DAMAGE_STAT1/&gt;&lt;cstring:DAMAGE_COLOR,%(BUFF_ID1)DAMAGE_TYPE/&gt;+(대상의 &lt;cstring:DAMAGE_NAME,%(BUFF_ID1)DAMAGE_STAT1/&gt;*&lt;propString:%(BUFF_ID1)DATA_REAL1/&gt;)|r 에 해당하는 &lt;cstring:ABILITY_TAG_COLOR,%(BUFF_ID1)TAG1/&gt;&lt;cstring:ABILITY_TAG_NAME,%(BUFF_ID1)TAG1/&gt;|r계열 피해를 입힙니다.</t>
  </si>
  <si>
    <t>&lt;cstring:STAT_COLOR,$STAT_SUMMON_DURATION/&gt;&lt;second:DURATION/&gt;|r 동안 대상을 공격하는 &lt;cstring:STAT_COLOR,$STAT_CONSTANT/&gt;레벨 &lt;int&gt;1*&lt;heroLevel/&gt;&lt;/int&gt;|r &lt;unitInfo:UNIT_ID1/&gt;를 소환합니다. &lt;propString:&amp;(UNIT_ID1)NAME/&gt;는 &lt;cstring:DAMAGE_COLOR,DAMAGE_STAT1/&gt;&lt;cstring:DAMAGE_NAME,DAMAGE_STAT1/&gt;이 &lt;real:2,2&gt;&lt;statValue:DAMAGE_STAT1/&gt;*&lt;statValue:DAMAGE_STAT2/&gt;*(&lt;prop:DATA_REAL1/&gt;+&lt;prop:DATA_REAL2/&gt;*&lt;skillLevel/&gt;)&lt;/real&gt;|r&lt;shift:DAMAGE_STAT1/&gt;&lt;shift:DAMAGE_STAT2/&gt; 증가하는 대신 적에게 &lt;cstring:STAT_COLOR,$STAT_CONSTANT/&gt;&lt;percent:DATA_REAL3/&gt;|r의 피해를 입히며 소멸할 때 &lt;cstring:STAT_COLOR,$STAT_HP_LOST/&gt;&lt;cstring:STAT_NAME,$STAT_HP_LOST/&gt;의 &lt;percent:DATA_REAL4/&gt;|r에 해당하는 만큼 시전자가 &lt;cstring:STAT_COLOR,$STAT_HP_LOST/&gt;&lt;cstring:STAT_NAME,$STAT_HP/&gt;을 &lt;second:DATA_REAL5/&gt;에 걸쳐 잃습니다.|r&lt;br/&gt;&lt;br/&gt;&lt;cstring:STAT_COLOR,#00ffff/&gt;&lt;propString:&amp;(UNIT_ID1)NAME/&gt; 사용 무기 : |r&lt;cstring:STAT_COLOR,$STAT_CONSTANT/&gt;레벨 &lt;int&gt;1*&lt;heroLevel/&gt;&lt;/int&gt; &lt;abilityInfo:&amp;(UNIT_ID1)INITIAL_ABILITY1/&gt;|r&lt;br/&gt;&lt;br/&gt;&lt;cstring:STAT_COLOR,#999999/&gt;고정된 공격속도를 가집니다.|r</t>
  </si>
  <si>
    <t>&lt;cstring:STAT_COLOR,$STAT_CONSTANT/&gt;&lt;second:DURATION/&gt;|r 동안 &lt;cstring:STAT_COLOR,$STAT_SHIELD/&gt;내구도 &lt;real:1,1&gt;&lt;prop:%(BUFF_ID1)DAMAGE_AMPLIFIER1/&gt;*&lt;statValue:%(BUFF_ID1)DAMAGE_STAT1/&gt;*(1+&lt;prop:%(BUFF_ID1)DAMAGE_PER_LEVEL/&gt;*&lt;skillLevel/&gt;)&lt;/real&gt;의 &lt;cstring:STAT_NAME,$STAT_SHIELD/&gt;|r&lt;shift:%(BUFF_ID1)DAMAGE_STAT1/&gt;을 전개합니다. 보호막이 지속되는 동안 &lt;cstring:STAT_COLOR,$STAT_RESISTANCE/&gt;&lt;cstring:STAT_NAME,$STAT_RESISTANCE/&gt;이 &lt;real:1,1&gt;&lt;prop:%(BUFF_ID1)DAMAGE_AMPLIFIER2/&gt;*&lt;statValue:%(BUFF_ID1)DAMAGE_STAT1/&gt;*(1+&lt;prop:%(BUFF_ID1)DAMAGE_PER_LEVEL/&gt;*&lt;skillLevel/&gt;)&lt;/real&gt;|r&lt;shift:%(BUFF_ID1)DAMAGE_STAT1/&gt;, &lt;cstring:STAT_COLOR,$STAT_ATTACK_SPEED/&gt;&lt;cstring:STAT_NAME,$STAT_ATTACK_SPEED/&gt;가 &lt;percent:%(BUFF_ID1)DATA_REAL1/&gt;|r 증가합니다.</t>
  </si>
  <si>
    <t>대상에게 &lt;cstring:DAMAGE_COLOR,DAMAGE_TYPE/&gt;&lt;real:2,2&gt;&lt;prop:DAMAGE_AMPLIFIER1/&gt;*&lt;statValue:DAMAGE_STAT1/&gt;*(1+&lt;prop:DAMAGE_PER_LEVEL/&gt;*&lt;skillLevel/&gt;)&lt;/real&gt;|r&lt;shift:DAMAGE_STAT1/&gt;의 피해를 입히고 &lt;cstring:STAT_COLOR,$STAT_CONSTANT/&gt;&lt;second:DURATION/&gt;|r 동안 대상을 중독시켜 매 초 &lt;cstring:DAMAGE_COLOR,%(BUFF_ID1)DAMAGE_TYPE/&gt;&lt;real:2,2&gt;&lt;prop:%(BUFF_ID1)DAMAGE_AMPLIFIER1/&gt;*&lt;statValue:%(BUFF_ID1)DAMAGE_STAT1/&gt;*(1+&lt;prop:%(BUFF_ID1)DAMAGE_PER_LEVEL/&gt;*&lt;skillLevel/&gt;)&lt;/real&gt;|r&lt;shift:%(BUFF_ID1)DAMAGE_STAT1/&gt; 에 해당하는 &lt;cstring:ABILITY_TAG_COLOR,%(BUFF_ID1)TAG1/&gt;&lt;cstring:ABILITY_TAG_NAME,%(BUFF_ID1)TAG1/&gt;|r계열 피해를 입힙니다.</t>
  </si>
  <si>
    <t>대상에게 &lt;cstring:DAMAGE_COLOR,DAMAGE_TYPE/&gt;&lt;real:2,2&gt;&lt;prop:DAMAGE_AMPLIFIER1/&gt;*&lt;statValue:DAMAGE_STAT1/&gt;*(1+&lt;prop:DAMAGE_PER_LEVEL/&gt;*&lt;skillLevel/&gt;)&lt;/real&gt;|r&lt;shift:DAMAGE_STAT1/&gt;의 피해를 입히고 &lt;lucky:DATA_REAL1,DATA_REAL2/&gt; 확률로 &lt;cstring:STAT_COLOR,$STAT_CONSTANT/&gt;레벨 &lt;int&gt;1*&lt;skillLevel/&gt;&lt;/int&gt;|r 공격자의 환영을 만들어 공격하게 합니다. 환영은 최대 &lt;cstring:STAT_COLOR,$STAT_SUMMON_DURATION/&gt;&lt;second:DURATION/&gt;|r 지속됩니다.&lt;br/&gt;&lt;br/&gt;&lt;cstring:STAT_COLOR,#00ffff/&gt;환영 : |r&lt;cstring:STAT_COLOR,$STAT_ATTACK/&gt;&lt;real:2,2&gt;&lt;prop:DAMAGE_AMPLIFIER2/&gt;*&lt;statValue:DAMAGE_STAT2/&gt;*(1+&lt;prop:DAMAGE_PER_LEVEL/&gt;*&lt;skillLevel/&gt;)&lt;/real&gt;|r&lt;shift:DAMAGE_STAT2/&gt;&lt;cstring:STAT_COLOR,$STAT_ATTACK/&gt;의 증가된 &lt;cstring:STAT_NAME,$STAT_ATTACK/&gt;|r을 가지며 &lt;cstring:STAT_COLOR,$STAT_CONSTANT/&gt;&lt;percent:DATA_REAL3/&gt;|r의 피해를 입힘</t>
  </si>
  <si>
    <t>&lt;cstring:STAT_COLOR,$STAT_CONSTANT/&gt;&lt;second:DURATION/&gt;|r 동안 &lt;cstring:STAT_COLOR,$STAT_ATTACK_SPEED/&gt;&lt;cstring:STAT_NAME,$STAT_ATTACK_SPEED/&gt;가 &lt;percent:%(BUFF_ID1)DATA_REAL1/&gt;|r 증가하고 &lt;cstring:DAMAGE_COLOR,$DAMAGE_BASIC/&gt;&lt;cstring:DAMAGE_NAME,$DAMAGE_BASIC/&gt;공격의 피해량이 &lt;real:2,2&gt;&lt;prop:%(BUFF_ID1)DAMAGE_AMPLIFIER1/&gt;*&lt;statValue:%(BUFF_ID1)DAMAGE_STAT1/&gt;*(1+&lt;prop:%(BUFF_ID1)DAMAGE_PER_LEVEL/&gt;*&lt;skillLevel/&gt;)&lt;/real&gt;|r&lt;shift:%(BUFF_ID1)DAMAGE_STAT1/&gt; 증가합니다.</t>
  </si>
  <si>
    <t>&lt;cstring:STAT_COLOR,$STAT_CONSTANT/&gt;&lt;second:DURATION/&gt;|r 동안 &lt;cstring:STAT_COLOR,$STAT_DEFENSE/&gt;&lt;cstring:STAT_NAME,$STAT_DEFENSE/&gt;|r과 &lt;cstring:STAT_COLOR,$STAT_RESISTANCE/&gt;&lt;cstring:STAT_NAME,$STAT_RESISTANCE/&gt;|r이 &lt;cstring:STAT_COLOR,$STAT_CONSTANT/&gt;&lt;percent&gt;&lt;prop:%(BUFF_ID1)DATA_REAL1/&gt;+&lt;skillLevel/&gt;*&lt;prop:%(BUFF_ID1)DATA_REAL2/&gt;&lt;/percent&gt;|r 증가합니다.</t>
  </si>
  <si>
    <t>&lt;cstring:STAT_COLOR,$STAT_CONSTANT/&gt;&lt;second:DURATION/&gt;|r 동안 &lt;cstring:STAT_COLOR,$STAT_ATTACK_SPEED/&gt;&lt;cstring:STAT_NAME,$STAT_ATTACK_SPEED/&gt;가 &lt;percent:%(BUFF_ID1)DATA_REAL1/&gt;|r 증가하고 &lt;cstring:DAMAGE_COLOR,$DAMAGE_BASIC/&gt;&lt;cstring:DAMAGE_NAME,$DAMAGE_BASIC/&gt;공격의 피해량이 &lt;real:2,2&gt;&lt;prop:%(BUFF_ID1)DAMAGE_AMPLIFIER1/&gt;*&lt;statValue:%(BUFF_ID1)DAMAGE_STAT1/&gt;*(1+&lt;prop:%(BUFF_ID1)DAMAGE_PER_LEVEL/&gt;*&lt;skillLevel/&gt;)&lt;/real&gt;|r&lt;shift:%(BUFF_ID1)DAMAGE_STAT1/&gt; 증가하는 대신 공격 시 &lt;cstring:STAT_COLOR,$STAT_HP_LOST/&gt;&lt;percent:%(BUFF_ID1)DATA_REAL2/&gt;의 &lt;cstring:STAT_NAME,$STAT_HP/&gt;을 소모|r합니다.&lt;br/&gt;&lt;br/&gt; - 해당 체력감소 효과로 &lt;cstring:STAT_COLOR,$STAT_HP/&gt;&lt;cstring:STAT_NAME,$STAT_HP/&gt;이 &lt;percent:%(BUFF_ID1)DATA_REAL3/&gt; 미만|r으로 내려가지 않습니다.&lt;br/&gt; - 근접 무기 장착 시에만 사용할 수 있습니다.&lt;br/&gt; - 무기교체 시 강화효과가 사라집니다.</t>
  </si>
  <si>
    <t>지정한 방향으로 거미줄을 발사하여 처음 적중하는 적에게 &lt;cstring:DAMAGE_COLOR,DAMAGE_TYPE/&gt;&lt;real:2,2&gt;&lt;prop:DAMAGE_AMPLIFIER1/&gt;*&lt;statValue:DAMAGE_STAT1/&gt;*(1+&lt;prop:DAMAGE_PER_LEVEL/&gt;*&lt;skillLevel/&gt;)&lt;/real&gt;|r&lt;shift:DAMAGE_STAT1/&gt;의 피해를 입히고 &lt;cstring:STAT_COLOR,$STAT_CONSTANT/&gt;&lt;second:DURATION/&gt;|r 동안 &lt;cstring:STAT_COLOR,$STAT_MOVEMENT_SPEED/&gt;&lt;cstring:STAT_NAME,$STAT_MOVEMENT_SPEED/&gt;를 &lt;percent:%(BUFF_ID1)DATA_REAL1/&gt;|r, &lt;cstring:STAT_COLOR,$STAT_DEFENSE/&gt;&lt;cstring:STAT_NAME,$STAT_DEFENSE/&gt;을 &lt;real:2,2&gt;&lt;prop:%(BUFF_ID1)DAMAGE_AMPLIFIER1/&gt;*&lt;statValue:%(BUFF_ID1)DAMAGE_STAT1/&gt;*(1+&lt;prop:%(BUFF_ID1)DAMAGE_PER_LEVEL/&gt;*&lt;skillLevel/&gt;)&lt;/real&gt;|r&lt;shift:%(BUFF_ID1)DAMAGE_STAT1/&gt; 감소시키며 이동기 사용을 제한합니다.</t>
  </si>
  <si>
    <t>대상에게 &lt;cstring:DAMAGE_COLOR,DAMAGE_TYPE/&gt;&lt;real:2,2&gt;&lt;prop:DAMAGE_AMPLIFIER1/&gt;*&lt;statValue:DAMAGE_STAT1/&gt;*(1+&lt;prop:DAMAGE_PER_LEVEL/&gt;*&lt;skillLevel/&gt;)&lt;/real&gt;|r&lt;shift:DAMAGE_STAT1/&gt;의 피해를 입히는 투사체를 발사하며 적중 시 &lt;lucky:DATA_REAL1,DATA_REAL2/&gt; 확률로 &lt;cstring:STAT_COLOR,$STAT_CONSTANT/&gt;레벨 &lt;int&gt;1*&lt;skillLevel/&gt;&lt;/int&gt;|r 대상의 환영을 만들어 공격하게 합니다. 환영은 최대 &lt;cstring:STAT_COLOR,$STAT_SUMMON_DURATION/&gt;&lt;second:DURATION/&gt;|r 지속됩니다.&lt;br/&gt;&lt;br/&gt;&lt;cstring:STAT_COLOR,#00ffff/&gt;환영 : |r&lt;cstring:STAT_COLOR,$STAT_ATTACK/&gt;&lt;real:2,2&gt;&lt;prop:DAMAGE_AMPLIFIER2/&gt;*&lt;statValue:DAMAGE_STAT2/&gt;*(1+&lt;prop:DAMAGE_PER_LEVEL/&gt;*&lt;skillLevel/&gt;)&lt;/real&gt;|r&lt;shift:DAMAGE_STAT2/&gt;&lt;cstring:STAT_COLOR,$STAT_ATTACK/&gt;의 증가된 &lt;cstring:STAT_NAME,$STAT_ATTACK/&gt;|r을 가지며 &lt;cstring:STAT_COLOR,$STAT_CONSTANT/&gt;&lt;percent:DATA_REAL3/&gt;|r의 피해를 입힘</t>
  </si>
  <si>
    <t>&lt;cstring:STAT_COLOR,$STAT_SUMMON_DURATION/&gt;&lt;second:DURATION/&gt;|r 동안 지속되는 &lt;cstring:STAT_COLOR,$STAT_CONSTANT/&gt;&lt;propString:COUNT/&gt;기|r의 &lt;unitInfo:UNIT_ID1/&gt;를 소환하여 지정한 방향으로 진격시킵니다. &lt;propString:&amp;(UNIT_ID1)NAME/&gt;는 &lt;cstring:STAT_COLOR,$STAT_ATTACK/&gt;&lt;cstring:STAT_NAME,$STAT_ATTACK/&gt;이 &lt;real:2,2&gt;&lt;prop:DAMAGE_AMPLIFIER1/&gt;*&lt;statValue:DAMAGE_STAT1/&gt;*(1+&lt;prop:DAMAGE_PER_LEVEL/&gt;*&lt;skillLevel/&gt;)&lt;/real&gt;|r&lt;shift:DAMAGE_STAT1/&gt;, &lt;cstring:STAT_COLOR,$STAT_MAXHP/&gt;&lt;cstring:STAT_NAME,$STAT_MAXHP/&gt;이 &lt;real:2,2&gt;&lt;prop:DAMAGE_AMPLIFIER2/&gt;*&lt;statValue:DAMAGE_STAT2/&gt;*(1+&lt;prop:DAMAGE_PER_LEVEL/&gt;*&lt;skillLevel/&gt;)&lt;/real&gt;|r&lt;shift:DAMAGE_STAT2/&gt; 증가하고 적에게 &lt;cstring:STAT_COLOR,$STAT_CONSTANT/&gt;&lt;percent:DATA_REAL1/&gt;|r의 피해를 입힙니다.&lt;br/&gt;&lt;br/&gt;&lt;cstring:STAT_COLOR,#00ffff/&gt;&lt;propString:&amp;(UNIT_ID1)NAME/&gt; 사용 무기 : |r&lt;cstring:STAT_COLOR,$STAT_CONSTANT/&gt;레벨 &lt;int&gt;1*&lt;skillLevel/&gt;&lt;/int&gt; &lt;abilityInfo:&amp;(UNIT_ID1)INITIAL_ABILITY1/&gt;|r</t>
  </si>
  <si>
    <t>적에게 공격받으면 &lt;cstring:STAT_COLOR,$STAT_CONSTANT/&gt;&lt;second:INTERVAL/&gt;|r마다 주변 적들에게 &lt;cstring:DAMAGE_COLOR,DAMAGE_TYPE/&gt;&lt;real:2,2&gt;&lt;prop:DAMAGE_AMPLIFIER1/&gt;*&lt;statValue:DAMAGE_STAT1/&gt;*(1+&lt;prop:DAMAGE_PER_LEVEL/&gt;*&lt;skillLevel/&gt;)&lt;/real&gt;|r&lt;shift:DAMAGE_STAT1/&gt;의 피해를 입히고 &lt;cstring:STAT_COLOR,$STAT_CONSTANT/&gt;&lt;second:DURATION/&gt;|r 동안 &lt;cstring:STAT_COLOR,$STAT_HEAL_AMP/&gt;&lt;cstring:STAT_NAME,$STAT_HEAL_AMP/&gt;을 &lt;percent:%(BUFF_ID1)DATA_REAL1/&gt;|r감소시킵니다.</t>
  </si>
  <si>
    <t>지정한 방향으로 &lt;cstring:STAT_COLOR,$STAT_CONSTANT/&gt;&lt;propString:COUNT/&gt;발|r의 탄환을 발사하여 발 당 &lt;cstring:DAMAGE_COLOR,DAMAGE_TYPE/&gt;&lt;real:2,2&gt;&lt;prop:DAMAGE_AMPLIFIER1/&gt;*&lt;statValue:DAMAGE_STAT1/&gt;*(1+&lt;prop:DAMAGE_PER_LEVEL/&gt;*&lt;skillLevel/&gt;)&lt;/real&gt;|r&lt;shift:DAMAGE_STAT1/&gt;의 피해를 입힙니다.&lt;br/&gt;&lt;br/&gt; - 발사 간격 : &lt;cstring:STAT_COLOR,$STAT_CONSTANT/&gt;&lt;second:INTERVAL/&gt;|r&lt;br/&gt;&lt;br/&gt;&lt;cstring:STAT_COLOR,#999999/&gt;사용 중에 움직일 수 있습니다.|r</t>
  </si>
  <si>
    <t>지정 범위에 감속영역을 전개합니다. 범위 내의 적들은 &lt;cstring:STAT_COLOR,$STAT_CONSTANT/&gt;&lt;second:INTERVAL/&gt;|r마다 &lt;cstring:DAMAGE_COLOR,DAMAGE_TYPE/&gt;&lt;real:2,2&gt;&lt;prop:DAMAGE_AMPLIFIER1/&gt;*&lt;statValue:DAMAGE_STAT1/&gt;*(1+&lt;prop:DAMAGE_PER_LEVEL/&gt;*&lt;skillLevel/&gt;)&lt;/real&gt;|r&lt;shift:DAMAGE_STAT1/&gt;의 피해를 입고 &lt;cstring:STAT_COLOR,$STAT_CONSTANT/&gt;&lt;second:DURATION/&gt;|r 동안 &lt;cstring:STAT_COLOR,$STAT_MOVEMENT_SPEED/&gt;&lt;cstring:STAT_NAME,$STAT_MOVEMENT_SPEED/&gt;가 &lt;propString:%(BUFF_ID1)DATA_INTEGER1/&gt;|r, &lt;cstring:STAT_COLOR,$STAT_EVASION/&gt;&lt;cstring:STAT_NAME,$STAT_EVASION/&gt;가 &lt;real:2,2&gt;&lt;prop:%(BUFF_ID1)DAMAGE_AMPLIFIER1/&gt;*&lt;statValue:%(BUFF_ID1)DAMAGE_STAT1/&gt;*(1+&lt;prop:%(BUFF_ID1)DAMAGE_PER_LEVEL/&gt;*&lt;skillLevel/&gt;)&lt;/real&gt;|r&lt;shift:%(BUFF_ID1)DAMAGE_STAT1/&gt; 감소합니다.&lt;br/&gt;&lt;br/&gt; - 감속영역 최대 공격횟수 : &lt;cstring:STAT_COLOR,$STAT_CONSTANT/&gt;&lt;propString:COUNT/&gt;회|r&lt;br/&gt;&lt;br/&gt;&lt;cstring:STAT_COLOR,#999999/&gt;해당 약화효과는 중첩됩니다.|r</t>
  </si>
  <si>
    <t>정신집중하여 &lt;cstring:STAT_COLOR,$STAT_CONSTANT/&gt;&lt;second:INTERVAL/&gt;|r 마다 대상에게 &lt;cstring:DAMAGE_COLOR,DAMAGE_TYPE/&gt;&lt;real:2,2&gt;&lt;prop:DAMAGE_AMPLIFIER1/&gt;*&lt;statValue:DAMAGE_STAT1/&gt;*(1+&lt;prop:DAMAGE_PER_LEVEL/&gt;*&lt;skillLevel/&gt;)&lt;/real&gt;|r&lt;shift:DAMAGE_STAT1/&gt;의 피해를 입히고 &lt;cstring:STAT_COLOR,$STAT_HP/&gt;원본 피해량의 &lt;percent:DATA_REAL1/&gt;에 해당하는 &lt;cstring:STAT_NAME,$STAT_HP/&gt;|r을 회복하며 &lt;cstring:STAT_COLOR,$STAT_CONSTANT/&gt;충전을 1 획득합니다.(최대 &lt;propString:DATA_INTEGER1/&gt;까지 획득)|r 충전이 1 이상일 때 &lt;cstring:DAMAGE_COLOR,$DAMAGE_SPELL/&gt;&lt;cstring:DAMAGE_NAME,$DAMAGE_SPELL/&gt;공격|r으로 피해를 입히면 충전을 모두 소모해 소모한 충전 1당 &lt;cstring:STAT_COLOR,$STAT_HPREGEN/&gt;피해량을 &lt;real:2,2&gt;&lt;prop:DAMAGE_AMPLIFIER2/&gt;*&lt;statValue:DAMAGE_STAT2/&gt;*(1+&lt;prop:DAMAGE_PER_LEVEL/&gt;*&lt;skillLevel/&gt;)&lt;/real&gt;|r&lt;shift:DAMAGE_STAT2/&gt; 증가시킵니다.(최대 피해량 : &lt;cstring:STAT_COLOR,$STAT_HPREGEN/&gt;&lt;real:2,2&gt;&lt;multiply:DAMAGE_AMPLIFIER2,DATA_INTEGER1/&gt;*&lt;statValue:DAMAGE_STAT2/&gt;*(1+&lt;prop:DAMAGE_PER_LEVEL/&gt;*&lt;skillLevel/&gt;)&lt;/real&gt;|r&lt;shift:DAMAGE_STAT2/&gt;)&lt;br/&gt;&lt;br/&gt; - &lt;cstring:STAT_COLOR,$STAT_CONSTANT/&gt;충전|r이 최대치일 때 이 스킬의 회복량이 &lt;cstring:STAT_COLOR,$STAT_CONSTANT/&gt;&lt;percent:DATA_REAL2/&gt;|r로 감소합니다.&lt;br/&gt; - 정신집중 후 매 &lt;cstring:STAT_COLOR,$STAT_CONSTANT/&gt;&lt;propString:DATA_INTEGER2/&gt;번째|r 공격만 적중 시 발생효과를 발생시킵니다.</t>
  </si>
  <si>
    <t>대상에게 &lt;cstring:DAMAGE_COLOR,DAMAGE_TYPE/&gt;&lt;real:2,2&gt;&lt;prop:DAMAGE_AMPLIFIER1/&gt;*&lt;statValue:DAMAGE_STAT1/&gt;*(1+&lt;prop:DAMAGE_PER_LEVEL/&gt;*&lt;skillLevel/&gt;)&lt;/real&gt;|r&lt;shift:DAMAGE_STAT1/&gt;의 피해를 입히는 전격 구체를 발사하고 짧은 시간동안 &lt;cstring:STAT_COLOR,$STAT_MOVEMENT_SPEED/&gt;&lt;cstring:STAT_NAME,$STAT_MOVEMENT_SPEED/&gt;|r가 증가하며 공격자의 자리에 &lt;cstring:STAT_COLOR,$STAT_CONSTANT/&gt;&lt;second:DURATION/&gt;|r 동안 지속되는 예비 전격 구체를 남깁니다. 이미 예비 전격 구체가 있을 경우 구체와의 거리에 비례해 &lt;cstring:STAT_COLOR,$STAT_CONSTANT/&gt;&lt;percent:DAMAGE_PRIMARY/&gt;~&lt;percent:DAMAGE_SECONDARY/&gt;|r의 피해를 입히는 전격 구체를 추가로 발사합니다.&lt;br/&gt;&lt;br/&gt; - 예비 구체와의 거리가 &lt;cstring:STAT_COLOR,$STAT_CONSTANT/&gt;&lt;propString:DATA_REAL1/&gt;|r 이상일 때 최대 피해량이 적용됩니다.</t>
  </si>
  <si>
    <t>대상에게 &lt;cstring:DAMAGE_COLOR,DAMAGE_TYPE/&gt;&lt;real:2,2&gt;&lt;prop:DAMAGE_AMPLIFIER1/&gt;*&lt;statValue:DAMAGE_STAT1/&gt;*(1+&lt;prop:DAMAGE_PER_LEVEL/&gt;*&lt;skillLevel/&gt;)&lt;/real&gt;|r&lt;shift:DAMAGE_STAT1/&gt;의 피해를 입히는 바람 칼날을 사출하며 대상과의 거리가 &lt;cstring:STAT_COLOR,$STAT_CONSTANT/&gt;&lt;propString:DATA_REAL1/&gt;|r 이상이면 대상과의 거리가 &lt;cstring:STAT_COLOR,$STAT_CONSTANT/&gt;&lt;propString:DATA_REAL2/&gt;|r(으)로 좁혀질 때 까지 돌진합니다.&lt;br/&gt;&lt;br/&gt; - 돌진 가능 거리일 때 돌진 발동에 실패하면 바람칼날이 사출되지 않습니다.</t>
  </si>
  <si>
    <t>스킬 습득 시 &lt;cstring:STAT_COLOR,$STAT_CONSTANT/&gt;레벨 &lt;int&gt;1*&lt;skillLevel/&gt;&lt;/int&gt;|r &lt;unitInfo:UNIT_ID1/&gt;가 소환됩니다. &lt;propString:&amp;(UNIT_ID1)NAME/&gt;를 우클릭하여 &lt;cstring:STATUS_COLOR,$STATUS_RIDING/&gt;&lt;cstring:STATUS_NAME,$STATUS_RIDING/&gt;|r할 수 있으며 해당 방식으로 탑승 시 &lt;propString:&amp;(UNIT_ID1)NAME/&gt;의 &lt;cstring:STAT_COLOR,$STAT_MOVEMENT_SPEED/&gt;&lt;cstring:STAT_NAME,$STAT_MOVEMENT_SPEED/&gt;가 &lt;propString:DATA_INTEGER1/&gt;|r 증가합니다.&lt;br/&gt;&lt;br/&gt;&lt;cstring:STAT_COLOR,#00ffff/&gt;사용 시 : |r&lt;propString:&amp;(UNIT_ID1)NAME/&gt;를 해당 위치로 이동시킵니다. &lt;propString:&amp;(UNIT_ID1)NAME/&gt;를 대상으로 사용 시 &lt;propString:&amp;(UNIT_ID1)NAME/&gt;와 시전자가 서로의 위치로 이동하며 탑승을 시도하고 자신을 대상으로 사용 시 &lt;propString:&amp;(UNIT_ID1)NAME/&gt;를 자신의 위치에 소환합니다.&lt;br/&gt;&lt;br/&gt;&lt;cstring:STAT_COLOR,#00ffff/&gt;Shift+스킬단축키 : |r&lt;propString:&amp;(UNIT_ID1)NAME/&gt;가 지정한 위치에 &lt;cstring:STAT_COLOR,$STAT_CONSTANT/&gt;레벨 &lt;int&gt;1*&lt;skillLevel/&gt;&lt;/int&gt; &lt;abilityInfo:&amp;(UNIT_ID1)INITIAL_ABILITY2/&gt;|r을 사용합니다.&lt;br/&gt;&lt;br/&gt;&lt;cstring:STAT_COLOR,#00ffff/&gt;&lt;propString:&amp;(UNIT_ID1)NAME/&gt; 사용 무기 : |r&lt;cstring:STAT_COLOR,$STAT_CONSTANT/&gt;레벨 &lt;int&gt;1*&lt;skillLevel/&gt;&lt;/int&gt; &lt;abilityInfo:&amp;(UNIT_ID1)INITIAL_ABILITY1/&gt;|r</t>
  </si>
  <si>
    <t>전방의 적들을 휩쓸어 &lt;cstring:DAMAGE_COLOR,DAMAGE_TYPE/&gt;&lt;real:2,2&gt;(&lt;prop:DAMAGE_AMPLIFIER1/&gt;*&lt;statValue:DAMAGE_STAT1/&gt;+&lt;prop:DAMAGE_AMPLIFIER2/&gt;*&lt;statValue:DAMAGE_STAT2/&gt;)*(1+&lt;prop:DAMAGE_PER_LEVEL/&gt;*&lt;skillLevel/&gt;)&lt;/real&gt;|r&lt;shift:DAMAGE_STAT1/&gt;&lt;shift:DAMAGE_STAT2/&gt;의 피해를 입힙니다. &lt;cstring:STAT_COLOR,$STAT_CONSTANT/&gt;매 &lt;propString:COUNT/&gt;번째|r 공격은 직선상의 적들에게 &lt;cstring:STAT_COLOR,$STAT_CONSTANT/&gt;&lt;percent:DAMAGE_SECONDARY/&gt;|r의 피해를 입힙니다.</t>
  </si>
  <si>
    <t>미사일 컨테이너를 소환합니다. 미사일 컨테이너는 매 &lt;cstring:STAT_COLOR,$STAT_CONSTANT/&gt;&lt;second:INTERVAL/&gt;|r마다 주변의 무작위 대상 하나에게 &lt;cstring:DAMAGE_COLOR,DAMAGE_TYPE/&gt;&lt;real:2,2&gt;&lt;prop:DAMAGE_AMPLIFIER1/&gt;*&lt;statValue:DAMAGE_STAT1/&gt;*(1+&lt;prop:DAMAGE_PER_LEVEL/&gt;*&lt;skillLevel/&gt;)&lt;/real&gt;|r&lt;shift:DAMAGE_STAT1/&gt;의 피해를 입히는 미사일을 발사합니다. &lt;cstring:STAT_COLOR,$STAT_CONSTANT/&gt;&lt;propString:COUNT/&gt;개|r의 미사일을 발사하거나 &lt;cstring:STAT_COLOR,$STAT_CONSTANT/&gt;&lt;second:DURATION/&gt;|r가 경과하면 미사일 컨테이너는 소멸합니다.&lt;br/&gt;&lt;br/&gt; - 이미 미사일에 공격받은 대상은 &lt;cstring:STAT_COLOR,$STAT_CONSTANT/&gt;&lt;percent:DAMAGE_SECONDARY/&gt;|r의 피해를 입습니다.</t>
  </si>
  <si>
    <t>지정한 방향으로 무차별 난사하여 &lt;cstring:STAT_COLOR,$STAT_CONSTANT/&gt;&lt;second:INTERVAL/&gt;|r마다 범위 내의 적들에게 &lt;cstring:DAMAGE_COLOR,DAMAGE_TYPE/&gt;&lt;real:2,2&gt;&lt;prop:DAMAGE_AMPLIFIER1/&gt;*&lt;statValue:DAMAGE_STAT1/&gt;*(1+&lt;prop:DAMAGE_PER_LEVEL/&gt;*&lt;skillLevel/&gt;)&lt;/real&gt;|r&lt;shift:DAMAGE_STAT1/&gt;의 피해를 입힙니다.&lt;br/&gt;&lt;br/&gt; - 공격횟수 : &lt;cstring:STAT_COLOR,$STAT_CONSTANT/&gt;&lt;propString:DATA_INTEGER1/&gt;회|r(최대 피해량 : &lt;cstring:DAMAGE_COLOR,DAMAGE_TYPE/&gt;&lt;real:2,2&gt;&lt;multiply:DAMAGE_AMPLIFIER1,DATA_INTEGER1/&gt;*&lt;statValue:DAMAGE_STAT1/&gt;*(1+&lt;prop:DAMAGE_PER_LEVEL/&gt;*&lt;skillLevel/&gt;)&lt;/real&gt;|r&lt;shift:DAMAGE_STAT1/&gt;)</t>
  </si>
  <si>
    <t>대상의 &lt;cstring:STAT_COLOR,$STAT_HP/&gt;&lt;cstring:STAT_NAME,$STAT_HP/&gt;을 &lt;real:2,2&gt;(&lt;prop:DATA_REAL1/&gt;*&lt;statValue:DAMAGE_STAT1/&gt;+&lt;prop:DATA_REAL2/&gt;*&lt;statValue:DAMAGE_STAT2/&gt;)*(1+&lt;prop:DAMAGE_PER_LEVEL/&gt;*&lt;skillLevel/&gt;)+(&lt;prop:DATA_REAL3/&gt;*&lt;heroLevel/&gt;)&lt;/real&gt;|r&lt;shift:DAMAGE_STAT1/&gt;&lt;shift:DAMAGE_STAT2/&gt;&lt;shift:DAMAGE_STAT3/&gt; 회복시킵니다.</t>
    <phoneticPr fontId="3" type="noConversion"/>
  </si>
  <si>
    <t>STAT_SKILL_LEVEL</t>
    <phoneticPr fontId="3" type="noConversion"/>
  </si>
  <si>
    <t>대상에게 &lt;cstring:DAMAGE_COLOR,DAMAGE_TYPE/&gt;&lt;real:2,2&gt;(&lt;prop:DAMAGE_AMPLIFIER1/&gt;*&lt;statValue:DAMAGE_STAT1/&gt;+&lt;prop:DAMAGE_AMPLIFIER2/&gt;*&lt;statValue:DAMAGE_STAT2/&gt;)*(1+&lt;prop:DAMAGE_PER_LEVEL/&gt;*&lt;skillLevel/&gt;)&lt;/real&gt;|r&lt;shift:DAMAGE_STAT1/&gt;&lt;shift:DAMAGE_STAT2/&gt;의 피해를 입히고 &lt;cstring:STAT_COLOR,$STAT_MP/&gt;&lt;cstring:STAT_NAME,$STAT_MP/&gt;|r&lt;cstring:STAT_COLOR,$STAT_MP/&gt;를 &lt;real:2,2&gt;(&lt;prop:DATA_REAL1/&gt;+&lt;prop:DATA_REAL2/&gt;*&lt;heroLevel/&gt;)&lt;/real&gt;|r&lt;shift:$STAT_SKILL_LEVEL/&gt; 감소시키며 대상이 &lt;cstring:UNIT_CLASS_COLOR,$UNIT_CLASS_SUMMON/&gt;&lt;cstring:UNIT_CLASS_NAME,$UNIT_CLASS_SUMMON/&gt;|r일 경우 &lt;cstring:STAT_COLOR,$STAT_SUMMON_DURATION/&gt;&lt;cstring:STAT_NAME,$STAT_SUMMON_DURATION/&gt;|r&lt;cstring:STAT_COLOR,$STAT_SUMMON_DURATION/&gt;을 &lt;second:DATA_REAL3/&gt;|r 감소시킵니다.</t>
  </si>
  <si>
    <t>&lt;cstring:ABILITY_TAG_COLOR,$ABILITY_TAG_BASH/&gt;&lt;cstring:ABILITY_TAG_NAME,$ABILITY_TAG_BASH/&gt;|r계열 공격과 &lt;cstring:DAMAGE_COLOR,$DAMAGE_MELEE/&gt;&lt;cstring:DAMAGE_NAME,$DAMAGE_MELEE/&gt;공격|r의 피해량이 &lt;cstring:STAT_COLOR,$STAT_CONSTANT/&gt;&lt;percent&gt;&lt;prop:DAMAGE_BASE/&gt;+&lt;prop:DAMAGE_PER_LEVEL/&gt;*&lt;skillLevel/&gt;&lt;/percent&gt;|r&lt;shift:$STAT_SKILL_LEVEL/&gt; 증가합니다.</t>
  </si>
  <si>
    <t>&lt;cstring:ABILITY_TAG_COLOR,$ABILITY_TAG_SLASH/&gt;&lt;cstring:ABILITY_TAG_NAME,$ABILITY_TAG_SLASH/&gt;|r, &lt;cstring:ABILITY_TAG_COLOR,$ABILITY_TAG_PIERCE/&gt;&lt;cstring:ABILITY_TAG_NAME,$ABILITY_TAG_PIERCE/&gt;|r계열 공격의 피해량이 &lt;cstring:STAT_COLOR,$STAT_CONSTANT/&gt;&lt;percent&gt;&lt;prop:DAMAGE_BASE/&gt;+&lt;prop:DAMAGE_PER_LEVEL/&gt;*&lt;skillLevel/&gt;&lt;/percent&gt;|r&lt;shift:$STAT_SKILL_LEVEL/&gt; 증가합니다.</t>
  </si>
  <si>
    <t>&lt;cstring:STAT_COLOR,STAT_BONUS1/&gt;&lt;cstring:STAT_NAME,STAT_BONUS1/&gt;이 &lt;percent&gt;&lt;prop:DAMAGE_BASE/&gt;+&lt;prop:DAMAGE_PER_LEVEL/&gt;*&lt;skillLevel/&gt;&lt;/percent&gt;|r&lt;shift:$STAT_SKILL_LEVEL/&gt; 증가합니다.</t>
  </si>
  <si>
    <t>&lt;cstring:STAT_COLOR,$STAT_CONSTANT/&gt;&lt;second:DURATION/&gt;|r에 걸쳐 &lt;cstring:STAT_COLOR,$STAT_MP/&gt;&lt;cstring:STAT_NAME,$STAT_MP/&gt;가 &lt;real:1,1&gt;&lt;prop:%(BUFF_ID1)DAMAGE_BASE/&gt;*(1+&lt;prop:%(BUFF_ID1)DAMAGE_PER_LEVEL/&gt;*&lt;skillLevel/&gt;)&lt;/real&gt;|r&lt;shift:$STAT_SKILL_LEVEL/&gt; 회복되며 &lt;cstring:STAT_COLOR,$UNIT_CLASS_POMANGAM/&gt;&lt;cstring:STAT_NAME,$UNIT_CLASS_POMANGAM/&gt;이 &lt;propString:%(BUFF_ID1)DATA_INTEGER1/&gt;|r 증가합니다.</t>
  </si>
  <si>
    <t>&lt;cstring:STAT_COLOR,$STAT_CONSTANT/&gt;&lt;second:DURATION/&gt;|r에 걸쳐 &lt;cstring:STAT_COLOR,$STAT_HP/&gt;&lt;cstring:STAT_NAME,$STAT_HP/&gt;이 &lt;real:1,1&gt;&lt;prop:%(BUFF_ID1)DAMAGE_BASE/&gt;*(1+&lt;prop:%(BUFF_ID1)DAMAGE_PER_LEVEL/&gt;*&lt;skillLevel/&gt;)&lt;/real&gt;|r&lt;shift:$STAT_SKILL_LEVEL/&gt; 회복되며 &lt;cstring:STAT_COLOR,$UNIT_CLASS_POMANGAM/&gt;&lt;cstring:STAT_NAME,$UNIT_CLASS_POMANGAM/&gt;이 &lt;propString:%(BUFF_ID1)DATA_INTEGER1/&gt;|r 증가합니다.</t>
  </si>
  <si>
    <t>다음 조건을 만족할 때마다 &lt;cstring:STAT_COLOR,$STAT_CONSTANT/&gt;1의 충전|r을 획득합니다.&lt;br/&gt;&lt;br/&gt; - 매 &lt;cstring:STAT_COLOR,$STAT_CONSTANT/&gt;&lt;second:DURATION/&gt;|r 경과&lt;br/&gt; - (추가 작성 필요)&lt;br/&gt;&lt;br/&gt;이 스킬이 제거, 합성되면 &lt;cstring:STAT_COLOR,UPGRADE_LUCK/&gt;충전 수치 만큼의 &lt;cstring:STAT_NAME,UPGRADE_LUCK/&gt;|r&lt;icon:$UPGRADE_LUCK/&gt;를 획득합니다. (충전한도 : &lt;cstring:STAT_COLOR,$STAT_CONSTANT/&gt;&lt;int&gt;&lt;prop:DATA_INTEGER1/&gt;+&lt;prop:DATA_INTEGER2/&gt;*&lt;skillLevel/&gt;&lt;/int&gt;|r)&lt;shift:$STAT_SKILL_LEVEL/&gt;</t>
  </si>
  <si>
    <t>&lt;cstring:STAT_COLOR,$STAT_CONSTANT/&gt;&lt;second:DURATION/&gt;|r 동안 자신을 제외한 주변 아군들의 &lt;cstring:STAT_COLOR,%(BUFF_ID1)DAMAGE_STAT1/&gt;&lt;cstring:STAT_NAME,%(BUFF_ID1)DAMAGE_STAT1/&gt;|r이 &lt;real:2,2&gt;(&lt;prop:%(BUFF_ID1)DAMAGE_AMPLIFIER1/&gt;*&lt;statValue:%(BUFF_ID1)DAMAGE_STAT1/&gt;)*(1+&lt;prop:%(BUFF_ID1)DAMAGE_PER_LEVEL/&gt;*&lt;skillLevel/&gt;)&lt;/real&gt;|r&lt;shift:%(BUFF_ID1)DAMAGE_STAT1/&gt;, &lt;cstring:STAT_COLOR,%(BUFF_ID1)DAMAGE_STAT2/&gt;&lt;cstring:STAT_NAME,%(BUFF_ID1)DAMAGE_STAT2/&gt;|r&lt;cstring:DAMAGE_COLOR,%(BUFF_ID1)DAMAGE_STAT2/&gt;이 &lt;percent&gt;&lt;prop:%(BUFF_ID1)DATA_REAL1/&gt;+&lt;skillLevel/&gt;*&lt;prop:%(BUFF_ID1)DATA_REAL2/&gt;&lt;/percent&gt;|r&lt;shift:$STAT_SKILL_LEVEL/&gt; 증가합니다. 대상이 &lt;cstring:UNIT_CLASS_COLOR,$UNIT_CLASS_SUMMON/&gt;&lt;cstring:UNIT_CLASS_NAME,$UNIT_CLASS_SUMMON/&gt;|r일 경우 &lt;cstring:STAT_COLOR,$STAT_SUMMON_DURATION/&gt;&lt;cstring:STAT_NAME,$STAT_SUMMON_DURATION/&gt;|r&lt;cstring:STAT_COLOR,$STAT_SUMMON_DURATION/&gt;을 &lt;second:DATA_REAL1/&gt;|r 연장시킵니다.</t>
    <phoneticPr fontId="3" type="noConversion"/>
  </si>
  <si>
    <r>
      <t>&lt;</t>
    </r>
    <r>
      <rPr>
        <sz val="11"/>
        <color rgb="FF7EE787"/>
        <rFont val="Consolas"/>
        <family val="3"/>
      </rPr>
      <t>cstring:STAT_COLOR,STAT_HP_LOST</t>
    </r>
    <r>
      <rPr>
        <sz val="11"/>
        <color rgb="FF808080"/>
        <rFont val="Consolas"/>
        <family val="3"/>
      </rPr>
      <t>/&gt;&lt;</t>
    </r>
    <r>
      <rPr>
        <sz val="11"/>
        <color rgb="FF7EE787"/>
        <rFont val="Consolas"/>
        <family val="3"/>
      </rPr>
      <t>cstring:STAT_NAME,STAT_HP_CURRENT</t>
    </r>
    <r>
      <rPr>
        <sz val="11"/>
        <color rgb="FF808080"/>
        <rFont val="Consolas"/>
        <family val="3"/>
      </rPr>
      <t>/&gt;</t>
    </r>
    <r>
      <rPr>
        <sz val="11"/>
        <color rgb="FFBBBEBF"/>
        <rFont val="맑은 고딕"/>
        <family val="3"/>
        <charset val="129"/>
      </rPr>
      <t>의</t>
    </r>
    <r>
      <rPr>
        <sz val="11"/>
        <color rgb="FFBBBEBF"/>
        <rFont val="Consolas"/>
        <family val="3"/>
      </rPr>
      <t xml:space="preserve"> </t>
    </r>
    <r>
      <rPr>
        <sz val="11"/>
        <color rgb="FF808080"/>
        <rFont val="Consolas"/>
        <family val="3"/>
      </rPr>
      <t>&lt;percent:DATA_REAL1/&gt;</t>
    </r>
    <r>
      <rPr>
        <sz val="11"/>
        <color rgb="FFBBBEBF"/>
        <rFont val="Consolas"/>
        <family val="3"/>
      </rPr>
      <t xml:space="preserve"> </t>
    </r>
    <r>
      <rPr>
        <sz val="11"/>
        <color rgb="FFBBBEBF"/>
        <rFont val="맑은 고딕"/>
        <family val="3"/>
        <charset val="129"/>
      </rPr>
      <t>소모</t>
    </r>
    <r>
      <rPr>
        <sz val="11"/>
        <color rgb="FFBBBEBF"/>
        <rFont val="Consolas"/>
        <family val="3"/>
      </rPr>
      <t>|r</t>
    </r>
    <phoneticPr fontId="3" type="noConversion"/>
  </si>
  <si>
    <t>0.33</t>
    <phoneticPr fontId="3" type="noConversion"/>
  </si>
  <si>
    <t>0.135</t>
    <phoneticPr fontId="3" type="noConversion"/>
  </si>
  <si>
    <t>0.66</t>
    <phoneticPr fontId="3" type="noConversion"/>
  </si>
  <si>
    <t>0.12</t>
    <phoneticPr fontId="3" type="noConversion"/>
  </si>
  <si>
    <t>1.33</t>
    <phoneticPr fontId="3" type="noConversion"/>
  </si>
  <si>
    <t>선택한 지점에 &lt;cstring:STAT_COLOR,$STAT_CONSTANT/&gt;레벨 &lt;int&gt;1*&lt;skillLevel/&gt;&lt;/int&gt;|r &lt;unitInfo:UNIT_ID1/&gt;을 건설합니다. 최대 한 기의 아군 유닛이 내부에 들어갈 수 있습니다.(&lt;cstring:STATUS_COLOR,$STATUS_RIDING/&gt;&lt;cstring:STATUS_NAME,$STATUS_RIDING/&gt;|r 상태로 간주)&lt;br/&gt;&lt;br/&gt; - &lt;propString:&amp;(UNIT_ID1)NAME/&gt;은 최대 한 개만 존재할 수 있습니다.&lt;br/&gt;&lt;br/&gt;&lt;cstring:STAT_COLOR,#00ffff/&gt;&lt;propString:&amp;(UNIT_ID1)NAME/&gt; 사용 무기 : |r&lt;cstring:STAT_COLOR,$STAT_CONSTANT/&gt;레벨 &lt;int&gt;1*&lt;skillLevel/&gt;&lt;/int&gt; &lt;abilityInfo:&amp;(UNIT_ID1)INITIAL_ABILITY1/&gt;|r</t>
    <phoneticPr fontId="3" type="noConversion"/>
  </si>
  <si>
    <t>늑대정령으로 변신합니다. &lt;cstring:STAT_COLOR,$STAT_MOVEMENT_SPEED/&gt;&lt;cstring:STAT_NAME,$STAT_MOVEMENT_SPEED/&gt;가 &lt;int&gt;&lt;prop:%(BUFF_ID1)DATA_INTEGER1/&gt;&lt;/int&gt;|r, &lt;cstring:STAT_COLOR,$STAT_ATTACK_SPEED/&gt;&lt;cstring:STAT_NAME,$STAT_ATTACK_SPEED/&gt;가 &lt;percent&gt;&lt;prop:%(BUFF_ID1)DATA_REAL1/&gt;+&lt;skillLevel/&gt;*&lt;prop:%(BUFF_ID1)DATA_REAL2/&gt;&lt;/percent&gt;|r 증가하며 &lt;cstring:DAMAGE_COLOR,$DAMAGE_BASIC/&gt;&lt;cstring:DAMAGE_NAME,$DAMAGE_MELEE/&gt; &lt;cstring:DAMAGE_NAME,$DAMAGE_BASIC/&gt;공격 적중 시 피해량이 &lt;real:2,2&gt;&lt;prop:%(BUFF_ID1)DAMAGE_AMPLIFIER1/&gt;*&lt;statValue:%(BUFF_ID1)DAMAGE_STAT1/&gt;*(1+&lt;prop:%(BUFF_ID1)DAMAGE_PER_LEVEL/&gt;*&lt;skillLevel/&gt;)&lt;/real&gt;|r&lt;shift:%(BUFF_ID1)DAMAGE_STAT1/&gt; 증가하고 &lt;cstring:STAT_COLOR,$STAT_MP/&gt;&lt;cstring:STAT_NAME,$STAT_MP/&gt;를 &lt;propString:%(BUFF_ID1)DATA_INTEGER2/&gt;|r 회복합니다.</t>
    <phoneticPr fontId="3" type="noConversion"/>
  </si>
  <si>
    <t>화룡의 불길로 매 &lt;cstring:STAT_COLOR,$STAT_CONSTANT/&gt;&lt;second:INTERVAL/&gt;|r마다 지정 범위 내의 적들에게 &lt;cstring:DAMAGE_COLOR,DAMAGE_TYPE/&gt;&lt;real:2,2&gt;&lt;prop:DAMAGE_AMPLIFIER1/&gt;*&lt;statValue:DAMAGE_STAT1/&gt;*(1+&lt;prop:DAMAGE_PER_LEVEL/&gt;*&lt;skillLevel/&gt;)&lt;/real&gt;|r&lt;shift:DAMAGE_STAT1/&gt;의 피해를 입힙니다. 해당 공격은 &lt;cstring:STAT_COLOR,$STAT_RESISTANCE/&gt;대상의 &lt;cstring:STAT_NAME,$STAT_RESISTANCE/&gt;을 &lt;percent:DATA_REAL1/&gt;|r 무시합니다.&lt;br/&gt;&lt;br/&gt; - 공격횟수 : &lt;cstring:STAT_COLOR,$STAT_CONSTANT/&gt;&lt;propString:COUNT/&gt;회|r(최대 피해량 : &lt;cstring:DAMAGE_COLOR,DAMAGE_TYPE/&gt;&lt;real:2,2&gt;&lt;multiply:DAMAGE_AMPLIFIER1,COUNT/&gt;*&lt;statValue:DAMAGE_STAT1/&gt;*(1+&lt;prop:DAMAGE_PER_LEVEL/&gt;*&lt;skillLevel/&gt;)&lt;/real&gt;|r&lt;shift:DAMAGE_STAT1/&gt;)&lt;br/&gt;&lt;br/&gt;&lt;c:#999999&gt;다른 행동 중에 사용할 수 있습니다.&lt;/c&gt;</t>
    <phoneticPr fontId="3" type="noConversion"/>
  </si>
  <si>
    <t>대상에게 글레이브를 던져 &lt;cstring:DAMAGE_COLOR,DAMAGE_TYPE/&gt;&lt;real:2,2&gt;&lt;prop:DAMAGE_AMPLIFIER1/&gt;*&lt;statValue:DAMAGE_STAT1/&gt;*(1+&lt;prop:DAMAGE_PER_LEVEL/&gt;*&lt;skillLevel/&gt;)&lt;/real&gt;|r&lt;shift:DAMAGE_STAT1/&gt;의 피해를 입힙니다. 글레이브는 적중한 뒤 가까운 다른 대상에게 튕겨 &lt;cstring:STAT_COLOR,$STAT_CONSTANT/&gt;이전 피해량의 &lt;percent:DAMAGE_PRIMARY/&gt;|r에 해당하는 피해를 입힙니다. 튕김 횟수가 남은 상태에서 튕길 대상이 없을 경우 마지막으로 타격한 적을 한 번 더 타격하여 &lt;cstring:STAT_COLOR,$STAT_CONSTANT/&gt;이전 피해량의 &lt;percent:DAMAGE_SECONDARY/&gt;|r에 해당하는 피해를 입히고 소멸합니다.&lt;br/&gt;&lt;br/&gt; - 주 대상을 포함하여 최대 &lt;cstring:STAT_COLOR,$STAT_CONSTANT/&gt;&lt;propString:TARGET_MAX/&gt;기|r의 대상을 공격할 수 있습니다.</t>
    <phoneticPr fontId="3" type="noConversion"/>
  </si>
  <si>
    <t>고대 코끼리로 변신합니다. &lt;cstring:STAT_COLOR,$STAT_MOVEMENT_SPEED/&gt;&lt;cstring:STAT_NAME,$STAT_MOVEMENT_SPEED/&gt;가 &lt;int&gt;&lt;prop:%(BUFF_ID1)DATA_INTEGER1/&gt;&lt;/int&gt;|r, &lt;cstring:STAT_COLOR,$STAT_MAXHP/&gt;&lt;cstring:STAT_NAME,$STAT_MAXHP/&gt;이 &lt;percent:%(BUFF_ID1)DATA_REAL1/&gt;|r 증가하며 &lt;cstring:DAMAGE_COLOR,$DAMAGE_BASIC/&gt;&lt;cstring:DAMAGE_NAME,$DAMAGE_MELEE/&gt; &lt;cstring:DAMAGE_NAME,$DAMAGE_BASIC/&gt;공격 적중 시 피해량이 &lt;real:2,2&gt;&lt;prop:%(BUFF_ID1)DAMAGE_AMPLIFIER1/&gt;*&lt;statValue:%(BUFF_ID1)DAMAGE_STAT1/&gt;*(1+&lt;prop:%(BUFF_ID1)DAMAGE_PER_LEVEL/&gt;*&lt;skillLevel/&gt;)&lt;/real&gt;|r&lt;shift:%(BUFF_ID1)DAMAGE_STAT1/&gt; 증가합니다.</t>
    <phoneticPr fontId="3" type="noConversion"/>
  </si>
  <si>
    <t>선택한 아군 유닛과 결속하여(&lt;cstring:STATUS_COLOR,$STATUS_RIDING/&gt;&lt;cstring:STATUS_NAME,$STATUS_RIDING/&gt;|r 상태로 간주) 매 초 대상의 &lt;cstring:STAT_COLOR,$STAT_HP/&gt;&lt;cstring:STAT_NAME,$STAT_HP/&gt;을 &lt;real:2,2&gt;&lt;prop:%(BUFF_ID2)DAMAGE_AMPLIFIER1/&gt;*&lt;statValue:%(BUFF_ID2)DAMAGE_STAT1/&gt;*(1+&lt;prop:%(BUFF_ID2)DAMAGE_PER_LEVEL/&gt;*&lt;skillLevel/&gt;)&lt;/real&gt;|r&lt;shift:%(BUFF_ID2)DAMAGE_STAT1/&gt;, &lt;cstring:STAT_COLOR,$STAT_MP/&gt;&lt;cstring:STAT_NAME,$STAT_MP/&gt;를 &lt;real:2,2&gt;&lt;prop:%(BUFF_ID2)DAMAGE_AMPLIFIER2/&gt;*&lt;statValue:%(BUFF_ID2)DAMAGE_STAT2/&gt;*(1+&lt;prop:%(BUFF_ID2)DAMAGE_PER_LEVEL/&gt;*&lt;skillLevel/&gt;)&lt;/real&gt;|r&lt;shift:%(BUFF_ID2)DAMAGE_STAT2/&gt; 회복시킵니다. 대상이 플레이어 소유일 경우 우클릭으로 조종할 수 있습니다.</t>
    <phoneticPr fontId="3" type="noConversion"/>
  </si>
  <si>
    <t>&lt;cstring:STAT_COLOR,$STAT_CONSTANT/&gt;&lt;second:DURATION/&gt;|r 동안 &lt;cstring:STAT_COLOR,$STAT_MOVEMENT_SPEED/&gt;&lt;cstring:STAT_NAME,$STAT_MOVEMENT_SPEED/&gt;|r가 대폭 감소하며 해당 효과가 만료되면 &lt;cstring:STAT_COLOR,$STAT_CONSTANT/&gt;&lt;second:%(BUFF_ID1)DURATION/&gt;|r 내에 적중하는 다음 &lt;cstring:DAMAGE_COLOR,$DAMAGE_BASIC/&gt;&lt;cstring:DAMAGE_NAME,$DAMAGE_BASIC/&gt;공격의 피해량이 &lt;real:2,2&gt;&lt;prop:%(BUFF_ID2)DAMAGE_AMPLIFIER1/&gt;*&lt;statValue:%(BUFF_ID2)DAMAGE_STAT1/&gt;*(1+&lt;prop:%(BUFF_ID2)DAMAGE_PER_LEVEL/&gt;*&lt;skillLevel/&gt;)&lt;/real&gt;|r&lt;shift:%(BUFF_ID2)DAMAGE_STAT1/&gt; 증가합니다.&lt;br/&gt;&lt;br/&gt; - 다른 행동 중에 사용할 수 있습니다.</t>
    <phoneticPr fontId="3" type="noConversion"/>
  </si>
  <si>
    <t>&lt;cstring:STAT_COLOR,STAT_HP_LOST/&gt;&lt;cstring:STAT_NAME,STAT_HP_CURRENT/&gt;의 &lt;percent:DATA_REAL1/&gt; 소모|r</t>
    <phoneticPr fontId="3" type="noConversion"/>
  </si>
  <si>
    <t>&lt;cstring:STAT_COLOR,STAT_MP/&gt;매 초 &lt;cstring:STAT_NAME,STAT_MP/&gt;소모 &lt;propString:%(BUFF_ID1)DATA_INTEGER2/&gt;|r</t>
  </si>
  <si>
    <t>ENUM_UNIT_EXTRADATA_ADDICT</t>
    <phoneticPr fontId="3" type="noConversion"/>
  </si>
  <si>
    <t>ENUM_UNIT_EXTRADATA_ADDICT_MAX</t>
    <phoneticPr fontId="3" type="noConversion"/>
  </si>
  <si>
    <t>ENUM_UNIT_EXTRADATA_POMANGAM</t>
    <phoneticPr fontId="3" type="noConversion"/>
  </si>
  <si>
    <t>ENUM_UNIT_EXTRADATA_POMANGAM_MAX</t>
    <phoneticPr fontId="3" type="noConversion"/>
  </si>
  <si>
    <t>ENUM_EVENT_STATUS_CHANGE</t>
    <phoneticPr fontId="3" type="noConversion"/>
  </si>
  <si>
    <t>33</t>
    <phoneticPr fontId="3" type="noConversion"/>
  </si>
  <si>
    <t>유닛 상태 변화(기절, 침묵 등)</t>
    <phoneticPr fontId="3" type="noConversion"/>
  </si>
  <si>
    <t>ENUM_ABILITY_UPGRADE_TYPE_PURPLE</t>
    <phoneticPr fontId="11" type="noConversion"/>
  </si>
  <si>
    <t>ENUM_ABILITY_UPGRADE_TYPE_ORANGE</t>
    <phoneticPr fontId="11" type="noConversion"/>
  </si>
  <si>
    <t>5//e</t>
    <phoneticPr fontId="3" type="noConversion"/>
  </si>
  <si>
    <t>ENUM_ABILITY_UPGRADE_TYPE_RED</t>
    <phoneticPr fontId="3" type="noConversion"/>
  </si>
  <si>
    <t>ENUM_ABILITY_UPGRADE_TYPE_BLUE</t>
    <phoneticPr fontId="3" type="noConversion"/>
  </si>
  <si>
    <t>ENUM_ABILITY_UPGRADE_TYPE_PURPLE</t>
    <phoneticPr fontId="3" type="noConversion"/>
  </si>
  <si>
    <t>ENUM_ABILITY_UPGRADE_TYPE_ORANGE</t>
    <phoneticPr fontId="3" type="noConversion"/>
  </si>
  <si>
    <t>CONSTANT_ABILITY_UPGRADE_TYPE</t>
  </si>
  <si>
    <t>빨간 파편</t>
    <phoneticPr fontId="3" type="noConversion"/>
  </si>
  <si>
    <t>파란 파편</t>
    <phoneticPr fontId="3" type="noConversion"/>
  </si>
  <si>
    <t>보라 파편</t>
    <phoneticPr fontId="3" type="noConversion"/>
  </si>
  <si>
    <t>초록 파편</t>
    <phoneticPr fontId="3" type="noConversion"/>
  </si>
  <si>
    <t>주황 파편</t>
    <phoneticPr fontId="3" type="noConversion"/>
  </si>
  <si>
    <t>COLOR</t>
    <phoneticPr fontId="3" type="noConversion"/>
  </si>
  <si>
    <t>|cff0099cc</t>
    <phoneticPr fontId="3" type="noConversion"/>
  </si>
  <si>
    <t>|cffffcc00</t>
    <phoneticPr fontId="3" type="noConversion"/>
  </si>
  <si>
    <t>|cffff3300</t>
    <phoneticPr fontId="3" type="noConversion"/>
  </si>
  <si>
    <t>ICON</t>
    <phoneticPr fontId="3" type="noConversion"/>
  </si>
  <si>
    <t>|cff990099</t>
    <phoneticPr fontId="3" type="noConversion"/>
  </si>
  <si>
    <t>icons\\tooltips\\gem_red.blp</t>
    <phoneticPr fontId="3" type="noConversion"/>
  </si>
  <si>
    <t>icons\\tooltips\\gem_blue.blp</t>
    <phoneticPr fontId="3" type="noConversion"/>
  </si>
  <si>
    <t>icons\\tooltips\\gem_purple.blp</t>
    <phoneticPr fontId="3" type="noConversion"/>
  </si>
  <si>
    <t>icons\\tooltips\\gem_green.blp</t>
    <phoneticPr fontId="3" type="noConversion"/>
  </si>
  <si>
    <t>icons\\tooltips\\gem_orange.blp</t>
    <phoneticPr fontId="3" type="noConversion"/>
  </si>
  <si>
    <t>Icons\\tooltips\\stat_hp.blp</t>
    <phoneticPr fontId="3" type="noConversion"/>
  </si>
  <si>
    <t>Icons\\tooltips\\stat_mp.blp</t>
  </si>
  <si>
    <t>Icons\\tooltips\\stat_attack.blp</t>
  </si>
  <si>
    <t>Icons\\tooltips\\stat_defense.blp</t>
  </si>
  <si>
    <t>Icons\\tooltips\\stat_magicpower.blp</t>
  </si>
  <si>
    <t>Icons\\tooltips\\stat_resistance.blp</t>
  </si>
  <si>
    <t>Icons\\tooltips\\stat_accuracy.blp</t>
  </si>
  <si>
    <t>Icons\\tooltips\\stat_evasion.blp</t>
  </si>
  <si>
    <t>Icons\\tooltips\\stat_armorpenet.blp</t>
  </si>
  <si>
    <t>Icons\\tooltips\\stat_magicpenet.blp</t>
  </si>
  <si>
    <t>Icons\\tooltips\\stat_spellboost.blp</t>
  </si>
  <si>
    <t>Icons\\tooltips\\stat_luck.blp</t>
  </si>
  <si>
    <t>Icons\\tooltips\\stat_hpregen.blp</t>
  </si>
  <si>
    <t>Icons\\tooltips\\stat_mpregen.blp</t>
  </si>
  <si>
    <t>Icons\\tooltips\\stat_rodong.blp</t>
  </si>
  <si>
    <t>Icons\\tooltips\\stat_love.blp</t>
  </si>
  <si>
    <t>Icons\\tooltips\\stat_insight.blp</t>
  </si>
  <si>
    <t>Icons\\tooltips\\stat_greed.blp</t>
  </si>
  <si>
    <t>Icons\\tooltips\\tooltip_unitlevel.blp</t>
    <phoneticPr fontId="3" type="noConversion"/>
  </si>
  <si>
    <t>Icons\\tooltips\\tooltip_skilllevel.blp</t>
    <phoneticPr fontId="3" type="noConversion"/>
  </si>
  <si>
    <t>Icons\\tooltips\\tooltip_healamp.blp</t>
    <phoneticPr fontId="3" type="noConversion"/>
  </si>
  <si>
    <t>Icons\\tooltips\\tooltip_attackrange.blp</t>
    <phoneticPr fontId="3" type="noConversion"/>
  </si>
  <si>
    <t>Icons\\tooltips\\tooltip_attackspeed.blp</t>
    <phoneticPr fontId="3" type="noConversion"/>
  </si>
  <si>
    <t>Icons\\tooltips\\tooltip_movespeed.blp</t>
    <phoneticPr fontId="3" type="noConversion"/>
  </si>
  <si>
    <t>ENUM_STAT_COOLDOWN</t>
    <phoneticPr fontId="3" type="noConversion"/>
  </si>
  <si>
    <t>재사용 대기시간</t>
    <phoneticPr fontId="3" type="noConversion"/>
  </si>
  <si>
    <t>103</t>
  </si>
  <si>
    <t>104</t>
  </si>
  <si>
    <t>105</t>
  </si>
  <si>
    <t>106</t>
  </si>
  <si>
    <t>CONSTANT_STAT</t>
    <phoneticPr fontId="3" type="noConversion"/>
  </si>
  <si>
    <t>|cff00ffff</t>
    <phoneticPr fontId="3" type="noConversion"/>
  </si>
  <si>
    <t>Icons\\tooltips\\tooltip_cooldown.blp</t>
    <phoneticPr fontId="3" type="noConversion"/>
  </si>
  <si>
    <t>Icons\\tooltips\\tooltip_summonduration.blp</t>
    <phoneticPr fontId="3" type="noConversion"/>
  </si>
  <si>
    <t>고정값</t>
    <phoneticPr fontId="3" type="noConversion"/>
  </si>
  <si>
    <t>ENUM_ABILITY_TABLE_TIER_1</t>
    <phoneticPr fontId="3" type="noConversion"/>
  </si>
  <si>
    <t>ENUM_ABILITY_TABLE_TIER_2</t>
  </si>
  <si>
    <t>ENUM_ABILITY_TABLE_TIER_3</t>
  </si>
  <si>
    <t>ENUM_ABILITY_TABLE_TIER_4</t>
  </si>
  <si>
    <t>ENUM_ABILITY_TABLE_TIER_5</t>
  </si>
  <si>
    <t>ENUM_ABILITY_TABLE_TIER_2</t>
    <phoneticPr fontId="3" type="noConversion"/>
  </si>
  <si>
    <t>enabled</t>
    <phoneticPr fontId="3" type="noConversion"/>
  </si>
  <si>
    <t>ENUM_ABILITY_TABLE_TIER_3</t>
    <phoneticPr fontId="3" type="noConversion"/>
  </si>
  <si>
    <t>ENUM_ABILITY_TABLE_TIER_4</t>
    <phoneticPr fontId="3" type="noConversion"/>
  </si>
  <si>
    <t>ENUM_ABILITY_TABLE_TIER_5</t>
    <phoneticPr fontId="3" type="noConversion"/>
  </si>
  <si>
    <t>name</t>
    <phoneticPr fontId="3" type="noConversion"/>
  </si>
  <si>
    <t>abilityId</t>
    <phoneticPr fontId="3" type="noConversion"/>
  </si>
  <si>
    <t>initialWeight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</si>
</sst>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theme="5" tint="-0.499984740745262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rgb="FFCE9178"/>
      <name val="맑은 고딕"/>
      <family val="3"/>
      <charset val="129"/>
      <scheme val="major"/>
    </font>
    <font>
      <sz val="11"/>
      <color rgb="FFCE9178"/>
      <name val="Consolas"/>
      <family val="3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BBBEBF"/>
      <name val="Consolas"/>
      <family val="3"/>
    </font>
    <font>
      <sz val="11"/>
      <color rgb="FF808080"/>
      <name val="Consolas"/>
      <family val="3"/>
    </font>
    <font>
      <sz val="11"/>
      <color rgb="FF7EE787"/>
      <name val="Consolas"/>
      <family val="3"/>
    </font>
    <font>
      <sz val="11"/>
      <color rgb="FFBBBEBF"/>
      <name val="맑은 고딕"/>
      <family val="3"/>
      <charset val="129"/>
    </font>
    <font>
      <sz val="11"/>
      <color theme="1" tint="0.499984740745262"/>
      <name val="맑은 고딕"/>
      <family val="3"/>
      <charset val="129"/>
      <scheme val="major"/>
    </font>
  </fonts>
  <fills count="25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theme="9"/>
      </left>
      <right/>
      <top/>
      <bottom/>
      <diagonal/>
    </border>
    <border>
      <left style="medium">
        <color theme="9"/>
      </left>
      <right/>
      <top/>
      <bottom style="thin">
        <color indexed="64"/>
      </bottom>
      <diagonal/>
    </border>
    <border>
      <left style="medium">
        <color theme="4"/>
      </left>
      <right/>
      <top/>
      <bottom/>
      <diagonal/>
    </border>
    <border>
      <left style="medium">
        <color theme="4"/>
      </left>
      <right/>
      <top/>
      <bottom style="thin">
        <color indexed="64"/>
      </bottom>
      <diagonal/>
    </border>
    <border>
      <left style="medium">
        <color rgb="FF7030A0"/>
      </left>
      <right/>
      <top/>
      <bottom/>
      <diagonal/>
    </border>
    <border>
      <left style="medium">
        <color rgb="FF7030A0"/>
      </left>
      <right/>
      <top/>
      <bottom style="thin">
        <color indexed="64"/>
      </bottom>
      <diagonal/>
    </border>
    <border>
      <left style="medium">
        <color theme="5"/>
      </left>
      <right/>
      <top/>
      <bottom/>
      <diagonal/>
    </border>
    <border>
      <left style="medium">
        <color theme="5"/>
      </left>
      <right/>
      <top/>
      <bottom style="thin">
        <color indexed="64"/>
      </bottom>
      <diagonal/>
    </border>
    <border>
      <left style="medium">
        <color theme="7"/>
      </left>
      <right/>
      <top/>
      <bottom/>
      <diagonal/>
    </border>
    <border>
      <left style="medium">
        <color theme="7"/>
      </left>
      <right/>
      <top/>
      <bottom style="thin">
        <color indexed="64"/>
      </bottom>
      <diagonal/>
    </border>
    <border>
      <left style="medium">
        <color rgb="FFC00000"/>
      </left>
      <right/>
      <top/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thin">
        <color indexed="64"/>
      </bottom>
      <diagonal/>
    </border>
    <border>
      <left style="thin">
        <color theme="9"/>
      </left>
      <right/>
      <top/>
      <bottom/>
      <diagonal/>
    </border>
    <border>
      <left style="thin">
        <color theme="9"/>
      </left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 style="thin">
        <color theme="9"/>
      </top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dashDot">
        <color theme="6"/>
      </bottom>
      <diagonal/>
    </border>
    <border>
      <left/>
      <right style="medium">
        <color theme="5"/>
      </right>
      <top/>
      <bottom/>
      <diagonal/>
    </border>
    <border>
      <left/>
      <right style="medium">
        <color theme="5"/>
      </right>
      <top/>
      <bottom style="thin">
        <color indexed="64"/>
      </bottom>
      <diagonal/>
    </border>
    <border>
      <left style="medium">
        <color rgb="FFFF00FF"/>
      </left>
      <right/>
      <top/>
      <bottom/>
      <diagonal/>
    </border>
    <border>
      <left style="medium">
        <color rgb="FFFF00FF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 style="medium">
        <color theme="4"/>
      </left>
      <right/>
      <top style="thin">
        <color indexed="64"/>
      </top>
      <bottom/>
      <diagonal/>
    </border>
    <border>
      <left style="medium">
        <color theme="7"/>
      </left>
      <right/>
      <top style="thin">
        <color indexed="64"/>
      </top>
      <bottom/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medium">
        <color theme="9"/>
      </left>
      <right/>
      <top style="thin">
        <color indexed="64"/>
      </top>
      <bottom/>
      <diagonal/>
    </border>
    <border>
      <left style="medium">
        <color rgb="FFFF00FF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theme="9"/>
      </left>
      <right/>
      <top/>
      <bottom style="medium">
        <color indexed="64"/>
      </bottom>
      <diagonal/>
    </border>
    <border>
      <left style="thin">
        <color theme="9"/>
      </left>
      <right/>
      <top/>
      <bottom style="medium">
        <color indexed="64"/>
      </bottom>
      <diagonal/>
    </border>
    <border>
      <left style="medium">
        <color theme="4"/>
      </left>
      <right/>
      <top/>
      <bottom style="medium">
        <color indexed="64"/>
      </bottom>
      <diagonal/>
    </border>
    <border>
      <left style="medium">
        <color rgb="FF7030A0"/>
      </left>
      <right/>
      <top/>
      <bottom style="medium">
        <color indexed="64"/>
      </bottom>
      <diagonal/>
    </border>
    <border>
      <left style="medium">
        <color theme="5"/>
      </left>
      <right/>
      <top/>
      <bottom style="medium">
        <color indexed="64"/>
      </bottom>
      <diagonal/>
    </border>
    <border>
      <left style="medium">
        <color rgb="FFFF0000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380">
    <xf numFmtId="0" fontId="0" fillId="0" borderId="0" xfId="0"/>
    <xf numFmtId="49" fontId="4" fillId="2" borderId="0" xfId="0" applyNumberFormat="1" applyFont="1" applyFill="1"/>
    <xf numFmtId="49" fontId="4" fillId="0" borderId="0" xfId="0" applyNumberFormat="1" applyFont="1"/>
    <xf numFmtId="49" fontId="4" fillId="3" borderId="0" xfId="0" applyNumberFormat="1" applyFont="1" applyFill="1"/>
    <xf numFmtId="49" fontId="4" fillId="4" borderId="0" xfId="0" applyNumberFormat="1" applyFont="1" applyFill="1"/>
    <xf numFmtId="49" fontId="4" fillId="5" borderId="0" xfId="0" applyNumberFormat="1" applyFont="1" applyFill="1"/>
    <xf numFmtId="49" fontId="4" fillId="7" borderId="0" xfId="0" applyNumberFormat="1" applyFont="1" applyFill="1"/>
    <xf numFmtId="49" fontId="4" fillId="8" borderId="0" xfId="0" applyNumberFormat="1" applyFont="1" applyFill="1"/>
    <xf numFmtId="49" fontId="4" fillId="9" borderId="0" xfId="0" applyNumberFormat="1" applyFont="1" applyFill="1"/>
    <xf numFmtId="49" fontId="4" fillId="10" borderId="0" xfId="0" applyNumberFormat="1" applyFont="1" applyFill="1"/>
    <xf numFmtId="49" fontId="4" fillId="11" borderId="0" xfId="0" applyNumberFormat="1" applyFont="1" applyFill="1"/>
    <xf numFmtId="49" fontId="4" fillId="3" borderId="1" xfId="0" applyNumberFormat="1" applyFont="1" applyFill="1" applyBorder="1"/>
    <xf numFmtId="49" fontId="4" fillId="12" borderId="0" xfId="0" applyNumberFormat="1" applyFont="1" applyFill="1"/>
    <xf numFmtId="49" fontId="4" fillId="12" borderId="1" xfId="0" applyNumberFormat="1" applyFont="1" applyFill="1" applyBorder="1"/>
    <xf numFmtId="49" fontId="4" fillId="6" borderId="0" xfId="0" applyNumberFormat="1" applyFont="1" applyFill="1"/>
    <xf numFmtId="49" fontId="5" fillId="6" borderId="0" xfId="0" applyNumberFormat="1" applyFont="1" applyFill="1"/>
    <xf numFmtId="0" fontId="5" fillId="0" borderId="0" xfId="0" applyFont="1" applyAlignment="1">
      <alignment vertical="center"/>
    </xf>
    <xf numFmtId="49" fontId="4" fillId="14" borderId="0" xfId="0" applyNumberFormat="1" applyFont="1" applyFill="1"/>
    <xf numFmtId="49" fontId="4" fillId="15" borderId="0" xfId="0" applyNumberFormat="1" applyFont="1" applyFill="1"/>
    <xf numFmtId="49" fontId="4" fillId="6" borderId="0" xfId="0" applyNumberFormat="1" applyFont="1" applyFill="1" applyAlignment="1">
      <alignment wrapText="1"/>
    </xf>
    <xf numFmtId="49" fontId="6" fillId="6" borderId="0" xfId="0" applyNumberFormat="1" applyFont="1" applyFill="1"/>
    <xf numFmtId="0" fontId="8" fillId="0" borderId="0" xfId="0" applyFont="1" applyAlignment="1">
      <alignment vertical="center"/>
    </xf>
    <xf numFmtId="49" fontId="4" fillId="2" borderId="2" xfId="0" applyNumberFormat="1" applyFont="1" applyFill="1" applyBorder="1"/>
    <xf numFmtId="49" fontId="4" fillId="6" borderId="2" xfId="0" applyNumberFormat="1" applyFont="1" applyFill="1" applyBorder="1"/>
    <xf numFmtId="0" fontId="5" fillId="0" borderId="2" xfId="0" applyFont="1" applyBorder="1" applyAlignment="1">
      <alignment vertical="center"/>
    </xf>
    <xf numFmtId="49" fontId="4" fillId="0" borderId="2" xfId="0" applyNumberFormat="1" applyFont="1" applyBorder="1"/>
    <xf numFmtId="49" fontId="4" fillId="4" borderId="2" xfId="0" applyNumberFormat="1" applyFont="1" applyFill="1" applyBorder="1"/>
    <xf numFmtId="49" fontId="4" fillId="3" borderId="2" xfId="0" applyNumberFormat="1" applyFont="1" applyFill="1" applyBorder="1"/>
    <xf numFmtId="49" fontId="4" fillId="3" borderId="3" xfId="0" applyNumberFormat="1" applyFont="1" applyFill="1" applyBorder="1"/>
    <xf numFmtId="49" fontId="4" fillId="7" borderId="2" xfId="0" applyNumberFormat="1" applyFont="1" applyFill="1" applyBorder="1"/>
    <xf numFmtId="49" fontId="4" fillId="5" borderId="2" xfId="0" applyNumberFormat="1" applyFont="1" applyFill="1" applyBorder="1"/>
    <xf numFmtId="49" fontId="4" fillId="14" borderId="2" xfId="0" applyNumberFormat="1" applyFont="1" applyFill="1" applyBorder="1"/>
    <xf numFmtId="49" fontId="4" fillId="15" borderId="2" xfId="0" applyNumberFormat="1" applyFont="1" applyFill="1" applyBorder="1"/>
    <xf numFmtId="49" fontId="4" fillId="8" borderId="4" xfId="0" applyNumberFormat="1" applyFont="1" applyFill="1" applyBorder="1"/>
    <xf numFmtId="49" fontId="4" fillId="7" borderId="4" xfId="0" applyNumberFormat="1" applyFont="1" applyFill="1" applyBorder="1"/>
    <xf numFmtId="0" fontId="5" fillId="0" borderId="4" xfId="0" applyFont="1" applyBorder="1" applyAlignment="1">
      <alignment vertical="center"/>
    </xf>
    <xf numFmtId="49" fontId="4" fillId="0" borderId="4" xfId="0" applyNumberFormat="1" applyFont="1" applyBorder="1"/>
    <xf numFmtId="49" fontId="4" fillId="4" borderId="4" xfId="0" applyNumberFormat="1" applyFont="1" applyFill="1" applyBorder="1"/>
    <xf numFmtId="49" fontId="4" fillId="3" borderId="4" xfId="0" applyNumberFormat="1" applyFont="1" applyFill="1" applyBorder="1"/>
    <xf numFmtId="49" fontId="4" fillId="3" borderId="5" xfId="0" applyNumberFormat="1" applyFont="1" applyFill="1" applyBorder="1"/>
    <xf numFmtId="49" fontId="4" fillId="5" borderId="4" xfId="0" applyNumberFormat="1" applyFont="1" applyFill="1" applyBorder="1"/>
    <xf numFmtId="49" fontId="4" fillId="14" borderId="4" xfId="0" applyNumberFormat="1" applyFont="1" applyFill="1" applyBorder="1"/>
    <xf numFmtId="49" fontId="4" fillId="15" borderId="4" xfId="0" applyNumberFormat="1" applyFont="1" applyFill="1" applyBorder="1"/>
    <xf numFmtId="49" fontId="4" fillId="9" borderId="6" xfId="0" applyNumberFormat="1" applyFont="1" applyFill="1" applyBorder="1"/>
    <xf numFmtId="49" fontId="4" fillId="5" borderId="6" xfId="0" applyNumberFormat="1" applyFont="1" applyFill="1" applyBorder="1"/>
    <xf numFmtId="0" fontId="5" fillId="0" borderId="6" xfId="0" applyFont="1" applyBorder="1" applyAlignment="1">
      <alignment vertical="center"/>
    </xf>
    <xf numFmtId="49" fontId="4" fillId="0" borderId="6" xfId="0" applyNumberFormat="1" applyFont="1" applyBorder="1"/>
    <xf numFmtId="49" fontId="4" fillId="4" borderId="6" xfId="0" applyNumberFormat="1" applyFont="1" applyFill="1" applyBorder="1"/>
    <xf numFmtId="49" fontId="4" fillId="3" borderId="6" xfId="0" applyNumberFormat="1" applyFont="1" applyFill="1" applyBorder="1"/>
    <xf numFmtId="49" fontId="4" fillId="3" borderId="7" xfId="0" applyNumberFormat="1" applyFont="1" applyFill="1" applyBorder="1"/>
    <xf numFmtId="49" fontId="4" fillId="7" borderId="6" xfId="0" applyNumberFormat="1" applyFont="1" applyFill="1" applyBorder="1"/>
    <xf numFmtId="49" fontId="4" fillId="14" borderId="6" xfId="0" applyNumberFormat="1" applyFont="1" applyFill="1" applyBorder="1"/>
    <xf numFmtId="49" fontId="4" fillId="15" borderId="6" xfId="0" applyNumberFormat="1" applyFont="1" applyFill="1" applyBorder="1"/>
    <xf numFmtId="49" fontId="4" fillId="10" borderId="8" xfId="0" applyNumberFormat="1" applyFont="1" applyFill="1" applyBorder="1"/>
    <xf numFmtId="49" fontId="4" fillId="11" borderId="8" xfId="0" applyNumberFormat="1" applyFont="1" applyFill="1" applyBorder="1"/>
    <xf numFmtId="0" fontId="5" fillId="0" borderId="8" xfId="0" applyFont="1" applyBorder="1" applyAlignment="1">
      <alignment vertical="center"/>
    </xf>
    <xf numFmtId="49" fontId="4" fillId="0" borderId="8" xfId="0" applyNumberFormat="1" applyFont="1" applyBorder="1"/>
    <xf numFmtId="49" fontId="4" fillId="4" borderId="8" xfId="0" applyNumberFormat="1" applyFont="1" applyFill="1" applyBorder="1"/>
    <xf numFmtId="49" fontId="4" fillId="7" borderId="8" xfId="0" applyNumberFormat="1" applyFont="1" applyFill="1" applyBorder="1"/>
    <xf numFmtId="49" fontId="4" fillId="5" borderId="8" xfId="0" applyNumberFormat="1" applyFont="1" applyFill="1" applyBorder="1"/>
    <xf numFmtId="49" fontId="4" fillId="14" borderId="8" xfId="0" applyNumberFormat="1" applyFont="1" applyFill="1" applyBorder="1"/>
    <xf numFmtId="49" fontId="4" fillId="15" borderId="8" xfId="0" applyNumberFormat="1" applyFont="1" applyFill="1" applyBorder="1"/>
    <xf numFmtId="49" fontId="4" fillId="3" borderId="10" xfId="0" applyNumberFormat="1" applyFont="1" applyFill="1" applyBorder="1"/>
    <xf numFmtId="49" fontId="4" fillId="4" borderId="10" xfId="0" applyNumberFormat="1" applyFont="1" applyFill="1" applyBorder="1"/>
    <xf numFmtId="0" fontId="5" fillId="0" borderId="10" xfId="0" applyFont="1" applyBorder="1" applyAlignment="1">
      <alignment vertical="center"/>
    </xf>
    <xf numFmtId="49" fontId="4" fillId="0" borderId="10" xfId="0" applyNumberFormat="1" applyFont="1" applyBorder="1"/>
    <xf numFmtId="49" fontId="4" fillId="3" borderId="11" xfId="0" applyNumberFormat="1" applyFont="1" applyFill="1" applyBorder="1"/>
    <xf numFmtId="49" fontId="4" fillId="7" borderId="10" xfId="0" applyNumberFormat="1" applyFont="1" applyFill="1" applyBorder="1"/>
    <xf numFmtId="49" fontId="4" fillId="5" borderId="10" xfId="0" applyNumberFormat="1" applyFont="1" applyFill="1" applyBorder="1"/>
    <xf numFmtId="49" fontId="4" fillId="14" borderId="10" xfId="0" applyNumberFormat="1" applyFont="1" applyFill="1" applyBorder="1"/>
    <xf numFmtId="49" fontId="4" fillId="15" borderId="10" xfId="0" applyNumberFormat="1" applyFont="1" applyFill="1" applyBorder="1"/>
    <xf numFmtId="0" fontId="8" fillId="0" borderId="4" xfId="0" applyFont="1" applyBorder="1" applyAlignment="1">
      <alignment vertical="center"/>
    </xf>
    <xf numFmtId="49" fontId="6" fillId="7" borderId="4" xfId="0" applyNumberFormat="1" applyFont="1" applyFill="1" applyBorder="1"/>
    <xf numFmtId="49" fontId="4" fillId="12" borderId="4" xfId="0" applyNumberFormat="1" applyFont="1" applyFill="1" applyBorder="1"/>
    <xf numFmtId="49" fontId="4" fillId="12" borderId="5" xfId="0" applyNumberFormat="1" applyFont="1" applyFill="1" applyBorder="1"/>
    <xf numFmtId="49" fontId="6" fillId="5" borderId="6" xfId="0" applyNumberFormat="1" applyFont="1" applyFill="1" applyBorder="1"/>
    <xf numFmtId="49" fontId="4" fillId="12" borderId="6" xfId="0" applyNumberFormat="1" applyFont="1" applyFill="1" applyBorder="1"/>
    <xf numFmtId="49" fontId="4" fillId="12" borderId="7" xfId="0" applyNumberFormat="1" applyFont="1" applyFill="1" applyBorder="1"/>
    <xf numFmtId="49" fontId="6" fillId="4" borderId="10" xfId="0" applyNumberFormat="1" applyFont="1" applyFill="1" applyBorder="1"/>
    <xf numFmtId="49" fontId="4" fillId="12" borderId="10" xfId="0" applyNumberFormat="1" applyFont="1" applyFill="1" applyBorder="1"/>
    <xf numFmtId="49" fontId="4" fillId="12" borderId="11" xfId="0" applyNumberFormat="1" applyFont="1" applyFill="1" applyBorder="1"/>
    <xf numFmtId="0" fontId="7" fillId="0" borderId="2" xfId="0" applyFont="1" applyBorder="1" applyAlignment="1">
      <alignment vertical="center"/>
    </xf>
    <xf numFmtId="49" fontId="6" fillId="6" borderId="2" xfId="0" applyNumberFormat="1" applyFont="1" applyFill="1" applyBorder="1"/>
    <xf numFmtId="49" fontId="4" fillId="12" borderId="2" xfId="0" applyNumberFormat="1" applyFont="1" applyFill="1" applyBorder="1"/>
    <xf numFmtId="49" fontId="4" fillId="12" borderId="3" xfId="0" applyNumberFormat="1" applyFont="1" applyFill="1" applyBorder="1"/>
    <xf numFmtId="49" fontId="5" fillId="0" borderId="0" xfId="0" applyNumberFormat="1" applyFont="1"/>
    <xf numFmtId="49" fontId="4" fillId="0" borderId="1" xfId="0" applyNumberFormat="1" applyFont="1" applyBorder="1"/>
    <xf numFmtId="0" fontId="4" fillId="0" borderId="0" xfId="0" applyFont="1"/>
    <xf numFmtId="0" fontId="4" fillId="0" borderId="1" xfId="0" applyFont="1" applyBorder="1"/>
    <xf numFmtId="49" fontId="4" fillId="16" borderId="0" xfId="0" applyNumberFormat="1" applyFont="1" applyFill="1"/>
    <xf numFmtId="49" fontId="4" fillId="0" borderId="12" xfId="0" applyNumberFormat="1" applyFont="1" applyBorder="1"/>
    <xf numFmtId="0" fontId="8" fillId="0" borderId="12" xfId="0" applyFont="1" applyBorder="1" applyAlignment="1">
      <alignment vertical="center"/>
    </xf>
    <xf numFmtId="49" fontId="4" fillId="0" borderId="13" xfId="0" applyNumberFormat="1" applyFont="1" applyBorder="1"/>
    <xf numFmtId="0" fontId="4" fillId="0" borderId="12" xfId="0" applyFont="1" applyBorder="1"/>
    <xf numFmtId="0" fontId="4" fillId="0" borderId="13" xfId="0" applyFont="1" applyBorder="1"/>
    <xf numFmtId="0" fontId="8" fillId="0" borderId="6" xfId="0" applyFont="1" applyBorder="1" applyAlignment="1">
      <alignment vertical="center"/>
    </xf>
    <xf numFmtId="49" fontId="4" fillId="0" borderId="7" xfId="0" applyNumberFormat="1" applyFont="1" applyBorder="1"/>
    <xf numFmtId="0" fontId="4" fillId="0" borderId="6" xfId="0" applyFont="1" applyBorder="1"/>
    <xf numFmtId="0" fontId="4" fillId="0" borderId="7" xfId="0" applyFont="1" applyBorder="1"/>
    <xf numFmtId="49" fontId="4" fillId="0" borderId="14" xfId="0" applyNumberFormat="1" applyFont="1" applyBorder="1"/>
    <xf numFmtId="0" fontId="8" fillId="0" borderId="14" xfId="0" applyFont="1" applyBorder="1" applyAlignment="1">
      <alignment vertical="center"/>
    </xf>
    <xf numFmtId="49" fontId="4" fillId="0" borderId="15" xfId="0" applyNumberFormat="1" applyFont="1" applyBorder="1"/>
    <xf numFmtId="0" fontId="4" fillId="0" borderId="14" xfId="0" applyFont="1" applyBorder="1"/>
    <xf numFmtId="0" fontId="4" fillId="0" borderId="15" xfId="0" applyFont="1" applyBorder="1"/>
    <xf numFmtId="49" fontId="4" fillId="0" borderId="5" xfId="0" applyNumberFormat="1" applyFont="1" applyBorder="1"/>
    <xf numFmtId="0" fontId="4" fillId="0" borderId="4" xfId="0" applyFont="1" applyBorder="1"/>
    <xf numFmtId="0" fontId="4" fillId="0" borderId="5" xfId="0" applyFont="1" applyBorder="1"/>
    <xf numFmtId="49" fontId="4" fillId="17" borderId="14" xfId="0" applyNumberFormat="1" applyFont="1" applyFill="1" applyBorder="1"/>
    <xf numFmtId="49" fontId="4" fillId="17" borderId="0" xfId="0" applyNumberFormat="1" applyFont="1" applyFill="1"/>
    <xf numFmtId="49" fontId="4" fillId="18" borderId="12" xfId="0" applyNumberFormat="1" applyFont="1" applyFill="1" applyBorder="1"/>
    <xf numFmtId="49" fontId="4" fillId="18" borderId="0" xfId="0" applyNumberFormat="1" applyFont="1" applyFill="1"/>
    <xf numFmtId="49" fontId="6" fillId="7" borderId="0" xfId="0" applyNumberFormat="1" applyFont="1" applyFill="1"/>
    <xf numFmtId="49" fontId="6" fillId="5" borderId="0" xfId="0" applyNumberFormat="1" applyFont="1" applyFill="1"/>
    <xf numFmtId="49" fontId="9" fillId="6" borderId="16" xfId="0" applyNumberFormat="1" applyFont="1" applyFill="1" applyBorder="1" applyAlignment="1">
      <alignment horizontal="center" vertical="center"/>
    </xf>
    <xf numFmtId="49" fontId="9" fillId="7" borderId="16" xfId="0" applyNumberFormat="1" applyFont="1" applyFill="1" applyBorder="1" applyAlignment="1">
      <alignment horizontal="center" vertical="center"/>
    </xf>
    <xf numFmtId="49" fontId="9" fillId="0" borderId="16" xfId="0" applyNumberFormat="1" applyFont="1" applyBorder="1" applyAlignment="1">
      <alignment horizontal="center" vertical="center"/>
    </xf>
    <xf numFmtId="49" fontId="4" fillId="8" borderId="2" xfId="0" applyNumberFormat="1" applyFont="1" applyFill="1" applyBorder="1"/>
    <xf numFmtId="49" fontId="4" fillId="8" borderId="6" xfId="0" applyNumberFormat="1" applyFont="1" applyFill="1" applyBorder="1"/>
    <xf numFmtId="49" fontId="4" fillId="8" borderId="8" xfId="0" applyNumberFormat="1" applyFont="1" applyFill="1" applyBorder="1"/>
    <xf numFmtId="49" fontId="4" fillId="8" borderId="10" xfId="0" applyNumberFormat="1" applyFont="1" applyFill="1" applyBorder="1"/>
    <xf numFmtId="49" fontId="4" fillId="20" borderId="0" xfId="0" applyNumberFormat="1" applyFont="1" applyFill="1"/>
    <xf numFmtId="49" fontId="4" fillId="20" borderId="2" xfId="0" applyNumberFormat="1" applyFont="1" applyFill="1" applyBorder="1"/>
    <xf numFmtId="49" fontId="4" fillId="20" borderId="4" xfId="0" applyNumberFormat="1" applyFont="1" applyFill="1" applyBorder="1"/>
    <xf numFmtId="49" fontId="4" fillId="20" borderId="6" xfId="0" applyNumberFormat="1" applyFont="1" applyFill="1" applyBorder="1"/>
    <xf numFmtId="49" fontId="4" fillId="20" borderId="8" xfId="0" applyNumberFormat="1" applyFont="1" applyFill="1" applyBorder="1"/>
    <xf numFmtId="49" fontId="4" fillId="20" borderId="10" xfId="0" applyNumberFormat="1" applyFont="1" applyFill="1" applyBorder="1"/>
    <xf numFmtId="49" fontId="4" fillId="20" borderId="1" xfId="0" applyNumberFormat="1" applyFont="1" applyFill="1" applyBorder="1"/>
    <xf numFmtId="49" fontId="4" fillId="20" borderId="3" xfId="0" applyNumberFormat="1" applyFont="1" applyFill="1" applyBorder="1"/>
    <xf numFmtId="49" fontId="4" fillId="20" borderId="5" xfId="0" applyNumberFormat="1" applyFont="1" applyFill="1" applyBorder="1"/>
    <xf numFmtId="49" fontId="4" fillId="20" borderId="7" xfId="0" applyNumberFormat="1" applyFont="1" applyFill="1" applyBorder="1"/>
    <xf numFmtId="49" fontId="4" fillId="20" borderId="9" xfId="0" applyNumberFormat="1" applyFont="1" applyFill="1" applyBorder="1"/>
    <xf numFmtId="49" fontId="4" fillId="20" borderId="11" xfId="0" applyNumberFormat="1" applyFont="1" applyFill="1" applyBorder="1"/>
    <xf numFmtId="49" fontId="4" fillId="8" borderId="1" xfId="0" applyNumberFormat="1" applyFont="1" applyFill="1" applyBorder="1"/>
    <xf numFmtId="49" fontId="4" fillId="8" borderId="3" xfId="0" applyNumberFormat="1" applyFont="1" applyFill="1" applyBorder="1"/>
    <xf numFmtId="49" fontId="4" fillId="8" borderId="5" xfId="0" applyNumberFormat="1" applyFont="1" applyFill="1" applyBorder="1"/>
    <xf numFmtId="49" fontId="4" fillId="8" borderId="7" xfId="0" applyNumberFormat="1" applyFont="1" applyFill="1" applyBorder="1"/>
    <xf numFmtId="49" fontId="4" fillId="8" borderId="9" xfId="0" applyNumberFormat="1" applyFont="1" applyFill="1" applyBorder="1"/>
    <xf numFmtId="49" fontId="4" fillId="8" borderId="11" xfId="0" applyNumberFormat="1" applyFont="1" applyFill="1" applyBorder="1"/>
    <xf numFmtId="49" fontId="4" fillId="21" borderId="0" xfId="0" applyNumberFormat="1" applyFont="1" applyFill="1"/>
    <xf numFmtId="49" fontId="4" fillId="21" borderId="2" xfId="0" applyNumberFormat="1" applyFont="1" applyFill="1" applyBorder="1"/>
    <xf numFmtId="0" fontId="6" fillId="21" borderId="0" xfId="0" applyFont="1" applyFill="1" applyAlignment="1">
      <alignment vertical="center"/>
    </xf>
    <xf numFmtId="49" fontId="4" fillId="21" borderId="4" xfId="0" applyNumberFormat="1" applyFont="1" applyFill="1" applyBorder="1"/>
    <xf numFmtId="49" fontId="4" fillId="21" borderId="6" xfId="0" applyNumberFormat="1" applyFont="1" applyFill="1" applyBorder="1"/>
    <xf numFmtId="49" fontId="4" fillId="21" borderId="8" xfId="0" applyNumberFormat="1" applyFont="1" applyFill="1" applyBorder="1"/>
    <xf numFmtId="49" fontId="4" fillId="21" borderId="10" xfId="0" applyNumberFormat="1" applyFont="1" applyFill="1" applyBorder="1"/>
    <xf numFmtId="49" fontId="4" fillId="17" borderId="2" xfId="0" applyNumberFormat="1" applyFont="1" applyFill="1" applyBorder="1"/>
    <xf numFmtId="0" fontId="6" fillId="17" borderId="0" xfId="0" applyFont="1" applyFill="1" applyAlignment="1">
      <alignment vertical="center"/>
    </xf>
    <xf numFmtId="49" fontId="4" fillId="17" borderId="4" xfId="0" applyNumberFormat="1" applyFont="1" applyFill="1" applyBorder="1"/>
    <xf numFmtId="49" fontId="4" fillId="17" borderId="6" xfId="0" applyNumberFormat="1" applyFont="1" applyFill="1" applyBorder="1"/>
    <xf numFmtId="49" fontId="4" fillId="17" borderId="8" xfId="0" applyNumberFormat="1" applyFont="1" applyFill="1" applyBorder="1"/>
    <xf numFmtId="49" fontId="4" fillId="17" borderId="10" xfId="0" applyNumberFormat="1" applyFont="1" applyFill="1" applyBorder="1"/>
    <xf numFmtId="49" fontId="4" fillId="2" borderId="17" xfId="0" applyNumberFormat="1" applyFont="1" applyFill="1" applyBorder="1"/>
    <xf numFmtId="49" fontId="4" fillId="6" borderId="17" xfId="0" applyNumberFormat="1" applyFont="1" applyFill="1" applyBorder="1"/>
    <xf numFmtId="49" fontId="5" fillId="6" borderId="17" xfId="0" applyNumberFormat="1" applyFont="1" applyFill="1" applyBorder="1"/>
    <xf numFmtId="49" fontId="4" fillId="0" borderId="17" xfId="0" applyNumberFormat="1" applyFont="1" applyBorder="1"/>
    <xf numFmtId="49" fontId="4" fillId="17" borderId="17" xfId="0" applyNumberFormat="1" applyFont="1" applyFill="1" applyBorder="1"/>
    <xf numFmtId="49" fontId="4" fillId="21" borderId="17" xfId="0" applyNumberFormat="1" applyFont="1" applyFill="1" applyBorder="1"/>
    <xf numFmtId="49" fontId="4" fillId="7" borderId="17" xfId="0" applyNumberFormat="1" applyFont="1" applyFill="1" applyBorder="1"/>
    <xf numFmtId="49" fontId="4" fillId="8" borderId="17" xfId="0" applyNumberFormat="1" applyFont="1" applyFill="1" applyBorder="1"/>
    <xf numFmtId="49" fontId="4" fillId="8" borderId="18" xfId="0" applyNumberFormat="1" applyFont="1" applyFill="1" applyBorder="1"/>
    <xf numFmtId="49" fontId="4" fillId="20" borderId="17" xfId="0" applyNumberFormat="1" applyFont="1" applyFill="1" applyBorder="1"/>
    <xf numFmtId="49" fontId="4" fillId="20" borderId="18" xfId="0" applyNumberFormat="1" applyFont="1" applyFill="1" applyBorder="1"/>
    <xf numFmtId="49" fontId="4" fillId="14" borderId="17" xfId="0" applyNumberFormat="1" applyFont="1" applyFill="1" applyBorder="1"/>
    <xf numFmtId="49" fontId="4" fillId="5" borderId="17" xfId="0" applyNumberFormat="1" applyFont="1" applyFill="1" applyBorder="1"/>
    <xf numFmtId="49" fontId="4" fillId="4" borderId="17" xfId="0" applyNumberFormat="1" applyFont="1" applyFill="1" applyBorder="1"/>
    <xf numFmtId="49" fontId="4" fillId="15" borderId="17" xfId="0" applyNumberFormat="1" applyFont="1" applyFill="1" applyBorder="1"/>
    <xf numFmtId="49" fontId="4" fillId="8" borderId="19" xfId="0" applyNumberFormat="1" applyFont="1" applyFill="1" applyBorder="1"/>
    <xf numFmtId="49" fontId="4" fillId="7" borderId="19" xfId="0" applyNumberFormat="1" applyFont="1" applyFill="1" applyBorder="1"/>
    <xf numFmtId="0" fontId="5" fillId="0" borderId="19" xfId="0" applyFont="1" applyBorder="1" applyAlignment="1">
      <alignment vertical="center"/>
    </xf>
    <xf numFmtId="49" fontId="4" fillId="0" borderId="19" xfId="0" applyNumberFormat="1" applyFont="1" applyBorder="1"/>
    <xf numFmtId="49" fontId="4" fillId="17" borderId="19" xfId="0" applyNumberFormat="1" applyFont="1" applyFill="1" applyBorder="1"/>
    <xf numFmtId="49" fontId="4" fillId="21" borderId="19" xfId="0" applyNumberFormat="1" applyFont="1" applyFill="1" applyBorder="1"/>
    <xf numFmtId="49" fontId="4" fillId="8" borderId="20" xfId="0" applyNumberFormat="1" applyFont="1" applyFill="1" applyBorder="1"/>
    <xf numFmtId="49" fontId="4" fillId="20" borderId="19" xfId="0" applyNumberFormat="1" applyFont="1" applyFill="1" applyBorder="1"/>
    <xf numFmtId="49" fontId="4" fillId="20" borderId="20" xfId="0" applyNumberFormat="1" applyFont="1" applyFill="1" applyBorder="1"/>
    <xf numFmtId="49" fontId="4" fillId="14" borderId="19" xfId="0" applyNumberFormat="1" applyFont="1" applyFill="1" applyBorder="1"/>
    <xf numFmtId="49" fontId="4" fillId="5" borderId="19" xfId="0" applyNumberFormat="1" applyFont="1" applyFill="1" applyBorder="1"/>
    <xf numFmtId="49" fontId="4" fillId="4" borderId="19" xfId="0" applyNumberFormat="1" applyFont="1" applyFill="1" applyBorder="1"/>
    <xf numFmtId="49" fontId="4" fillId="15" borderId="19" xfId="0" applyNumberFormat="1" applyFont="1" applyFill="1" applyBorder="1"/>
    <xf numFmtId="0" fontId="8" fillId="0" borderId="19" xfId="0" applyFont="1" applyBorder="1" applyAlignment="1">
      <alignment vertical="center"/>
    </xf>
    <xf numFmtId="49" fontId="6" fillId="7" borderId="19" xfId="0" applyNumberFormat="1" applyFont="1" applyFill="1" applyBorder="1"/>
    <xf numFmtId="49" fontId="4" fillId="3" borderId="19" xfId="0" applyNumberFormat="1" applyFont="1" applyFill="1" applyBorder="1"/>
    <xf numFmtId="49" fontId="4" fillId="3" borderId="20" xfId="0" applyNumberFormat="1" applyFont="1" applyFill="1" applyBorder="1"/>
    <xf numFmtId="49" fontId="4" fillId="12" borderId="19" xfId="0" applyNumberFormat="1" applyFont="1" applyFill="1" applyBorder="1"/>
    <xf numFmtId="49" fontId="4" fillId="12" borderId="20" xfId="0" applyNumberFormat="1" applyFont="1" applyFill="1" applyBorder="1"/>
    <xf numFmtId="49" fontId="9" fillId="7" borderId="22" xfId="0" applyNumberFormat="1" applyFont="1" applyFill="1" applyBorder="1" applyAlignment="1">
      <alignment horizontal="center" vertical="center"/>
    </xf>
    <xf numFmtId="49" fontId="9" fillId="7" borderId="21" xfId="0" applyNumberFormat="1" applyFont="1" applyFill="1" applyBorder="1" applyAlignment="1">
      <alignment horizontal="center" vertical="center"/>
    </xf>
    <xf numFmtId="49" fontId="9" fillId="7" borderId="23" xfId="0" applyNumberFormat="1" applyFont="1" applyFill="1" applyBorder="1" applyAlignment="1">
      <alignment horizontal="center" vertical="center"/>
    </xf>
    <xf numFmtId="0" fontId="0" fillId="13" borderId="1" xfId="0" applyFill="1" applyBorder="1"/>
    <xf numFmtId="0" fontId="0" fillId="0" borderId="0" xfId="0" applyAlignment="1">
      <alignment horizontal="center"/>
    </xf>
    <xf numFmtId="49" fontId="4" fillId="16" borderId="24" xfId="0" applyNumberFormat="1" applyFont="1" applyFill="1" applyBorder="1"/>
    <xf numFmtId="49" fontId="4" fillId="0" borderId="24" xfId="0" applyNumberFormat="1" applyFont="1" applyBorder="1"/>
    <xf numFmtId="49" fontId="5" fillId="0" borderId="24" xfId="0" applyNumberFormat="1" applyFont="1" applyBorder="1"/>
    <xf numFmtId="0" fontId="4" fillId="0" borderId="24" xfId="0" applyFont="1" applyBorder="1"/>
    <xf numFmtId="49" fontId="4" fillId="0" borderId="25" xfId="0" applyNumberFormat="1" applyFont="1" applyBorder="1"/>
    <xf numFmtId="0" fontId="4" fillId="0" borderId="25" xfId="0" applyFont="1" applyBorder="1"/>
    <xf numFmtId="0" fontId="0" fillId="13" borderId="26" xfId="0" applyFill="1" applyBorder="1" applyAlignment="1">
      <alignment horizontal="center"/>
    </xf>
    <xf numFmtId="0" fontId="0" fillId="14" borderId="27" xfId="0" applyFill="1" applyBorder="1" applyAlignment="1">
      <alignment horizontal="center"/>
    </xf>
    <xf numFmtId="49" fontId="9" fillId="0" borderId="28" xfId="0" applyNumberFormat="1" applyFont="1" applyBorder="1" applyAlignment="1">
      <alignment horizontal="center" vertical="center"/>
    </xf>
    <xf numFmtId="49" fontId="9" fillId="6" borderId="29" xfId="0" applyNumberFormat="1" applyFont="1" applyFill="1" applyBorder="1" applyAlignment="1">
      <alignment horizontal="center" vertical="center" wrapText="1"/>
    </xf>
    <xf numFmtId="49" fontId="9" fillId="7" borderId="29" xfId="0" applyNumberFormat="1" applyFont="1" applyFill="1" applyBorder="1" applyAlignment="1">
      <alignment horizontal="center" vertical="center" wrapText="1"/>
    </xf>
    <xf numFmtId="49" fontId="9" fillId="7" borderId="30" xfId="0" applyNumberFormat="1" applyFont="1" applyFill="1" applyBorder="1" applyAlignment="1">
      <alignment horizontal="center" vertical="center" wrapText="1"/>
    </xf>
    <xf numFmtId="49" fontId="9" fillId="7" borderId="31" xfId="0" applyNumberFormat="1" applyFont="1" applyFill="1" applyBorder="1" applyAlignment="1">
      <alignment horizontal="center" vertical="center" wrapText="1"/>
    </xf>
    <xf numFmtId="49" fontId="9" fillId="7" borderId="32" xfId="0" applyNumberFormat="1" applyFont="1" applyFill="1" applyBorder="1" applyAlignment="1">
      <alignment horizontal="center" vertical="center" wrapText="1"/>
    </xf>
    <xf numFmtId="49" fontId="9" fillId="5" borderId="29" xfId="0" applyNumberFormat="1" applyFont="1" applyFill="1" applyBorder="1" applyAlignment="1">
      <alignment horizontal="center" vertical="center" wrapText="1"/>
    </xf>
    <xf numFmtId="49" fontId="9" fillId="11" borderId="29" xfId="0" applyNumberFormat="1" applyFont="1" applyFill="1" applyBorder="1" applyAlignment="1">
      <alignment horizontal="center" vertical="center" wrapText="1"/>
    </xf>
    <xf numFmtId="49" fontId="9" fillId="4" borderId="29" xfId="0" applyNumberFormat="1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>
      <alignment horizontal="center" vertical="center" wrapText="1"/>
    </xf>
    <xf numFmtId="0" fontId="0" fillId="13" borderId="33" xfId="0" applyFill="1" applyBorder="1" applyAlignment="1">
      <alignment horizontal="center"/>
    </xf>
    <xf numFmtId="0" fontId="0" fillId="14" borderId="34" xfId="0" applyFill="1" applyBorder="1" applyAlignment="1">
      <alignment horizontal="center"/>
    </xf>
    <xf numFmtId="0" fontId="0" fillId="0" borderId="35" xfId="0" applyBorder="1"/>
    <xf numFmtId="0" fontId="0" fillId="0" borderId="35" xfId="0" applyBorder="1" applyAlignment="1">
      <alignment horizontal="center"/>
    </xf>
    <xf numFmtId="0" fontId="0" fillId="13" borderId="36" xfId="0" applyFill="1" applyBorder="1"/>
    <xf numFmtId="0" fontId="0" fillId="0" borderId="37" xfId="0" applyBorder="1"/>
    <xf numFmtId="0" fontId="0" fillId="14" borderId="0" xfId="0" applyFill="1" applyAlignment="1">
      <alignment horizontal="center"/>
    </xf>
    <xf numFmtId="0" fontId="10" fillId="22" borderId="39" xfId="0" applyFont="1" applyFill="1" applyBorder="1"/>
    <xf numFmtId="49" fontId="0" fillId="13" borderId="26" xfId="0" applyNumberFormat="1" applyFill="1" applyBorder="1"/>
    <xf numFmtId="49" fontId="0" fillId="0" borderId="27" xfId="0" applyNumberFormat="1" applyBorder="1"/>
    <xf numFmtId="49" fontId="0" fillId="0" borderId="0" xfId="0" applyNumberFormat="1"/>
    <xf numFmtId="49" fontId="0" fillId="0" borderId="35" xfId="0" applyNumberFormat="1" applyBorder="1"/>
    <xf numFmtId="49" fontId="0" fillId="13" borderId="1" xfId="0" applyNumberFormat="1" applyFill="1" applyBorder="1"/>
    <xf numFmtId="49" fontId="0" fillId="0" borderId="38" xfId="0" applyNumberFormat="1" applyBorder="1"/>
    <xf numFmtId="0" fontId="5" fillId="0" borderId="40" xfId="0" applyFont="1" applyBorder="1" applyAlignment="1">
      <alignment vertical="center"/>
    </xf>
    <xf numFmtId="49" fontId="6" fillId="11" borderId="40" xfId="0" applyNumberFormat="1" applyFont="1" applyFill="1" applyBorder="1"/>
    <xf numFmtId="49" fontId="4" fillId="11" borderId="40" xfId="0" applyNumberFormat="1" applyFont="1" applyFill="1" applyBorder="1"/>
    <xf numFmtId="49" fontId="4" fillId="0" borderId="40" xfId="0" applyNumberFormat="1" applyFont="1" applyBorder="1"/>
    <xf numFmtId="49" fontId="4" fillId="3" borderId="40" xfId="0" applyNumberFormat="1" applyFont="1" applyFill="1" applyBorder="1"/>
    <xf numFmtId="49" fontId="4" fillId="3" borderId="41" xfId="0" applyNumberFormat="1" applyFont="1" applyFill="1" applyBorder="1"/>
    <xf numFmtId="49" fontId="4" fillId="12" borderId="40" xfId="0" applyNumberFormat="1" applyFont="1" applyFill="1" applyBorder="1"/>
    <xf numFmtId="49" fontId="4" fillId="12" borderId="41" xfId="0" applyNumberFormat="1" applyFont="1" applyFill="1" applyBorder="1"/>
    <xf numFmtId="49" fontId="4" fillId="7" borderId="40" xfId="0" applyNumberFormat="1" applyFont="1" applyFill="1" applyBorder="1"/>
    <xf numFmtId="49" fontId="4" fillId="4" borderId="40" xfId="0" applyNumberFormat="1" applyFont="1" applyFill="1" applyBorder="1"/>
    <xf numFmtId="49" fontId="4" fillId="5" borderId="40" xfId="0" applyNumberFormat="1" applyFont="1" applyFill="1" applyBorder="1"/>
    <xf numFmtId="49" fontId="4" fillId="14" borderId="40" xfId="0" applyNumberFormat="1" applyFont="1" applyFill="1" applyBorder="1"/>
    <xf numFmtId="49" fontId="4" fillId="15" borderId="40" xfId="0" applyNumberFormat="1" applyFont="1" applyFill="1" applyBorder="1"/>
    <xf numFmtId="49" fontId="6" fillId="4" borderId="0" xfId="0" applyNumberFormat="1" applyFont="1" applyFill="1"/>
    <xf numFmtId="49" fontId="4" fillId="10" borderId="40" xfId="0" applyNumberFormat="1" applyFont="1" applyFill="1" applyBorder="1"/>
    <xf numFmtId="49" fontId="4" fillId="10" borderId="42" xfId="0" applyNumberFormat="1" applyFont="1" applyFill="1" applyBorder="1"/>
    <xf numFmtId="49" fontId="4" fillId="11" borderId="42" xfId="0" applyNumberFormat="1" applyFont="1" applyFill="1" applyBorder="1"/>
    <xf numFmtId="0" fontId="5" fillId="0" borderId="42" xfId="0" applyFont="1" applyBorder="1" applyAlignment="1">
      <alignment vertical="center"/>
    </xf>
    <xf numFmtId="49" fontId="6" fillId="11" borderId="42" xfId="0" applyNumberFormat="1" applyFont="1" applyFill="1" applyBorder="1"/>
    <xf numFmtId="49" fontId="4" fillId="0" borderId="42" xfId="0" applyNumberFormat="1" applyFont="1" applyBorder="1"/>
    <xf numFmtId="49" fontId="4" fillId="3" borderId="42" xfId="0" applyNumberFormat="1" applyFont="1" applyFill="1" applyBorder="1"/>
    <xf numFmtId="49" fontId="4" fillId="3" borderId="43" xfId="0" applyNumberFormat="1" applyFont="1" applyFill="1" applyBorder="1"/>
    <xf numFmtId="49" fontId="4" fillId="12" borderId="42" xfId="0" applyNumberFormat="1" applyFont="1" applyFill="1" applyBorder="1"/>
    <xf numFmtId="49" fontId="4" fillId="12" borderId="43" xfId="0" applyNumberFormat="1" applyFont="1" applyFill="1" applyBorder="1"/>
    <xf numFmtId="49" fontId="4" fillId="7" borderId="42" xfId="0" applyNumberFormat="1" applyFont="1" applyFill="1" applyBorder="1"/>
    <xf numFmtId="49" fontId="4" fillId="4" borderId="42" xfId="0" applyNumberFormat="1" applyFont="1" applyFill="1" applyBorder="1"/>
    <xf numFmtId="49" fontId="4" fillId="5" borderId="42" xfId="0" applyNumberFormat="1" applyFont="1" applyFill="1" applyBorder="1"/>
    <xf numFmtId="49" fontId="4" fillId="14" borderId="42" xfId="0" applyNumberFormat="1" applyFont="1" applyFill="1" applyBorder="1"/>
    <xf numFmtId="49" fontId="4" fillId="15" borderId="42" xfId="0" applyNumberFormat="1" applyFont="1" applyFill="1" applyBorder="1"/>
    <xf numFmtId="0" fontId="9" fillId="0" borderId="44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49" fontId="5" fillId="0" borderId="42" xfId="0" applyNumberFormat="1" applyFont="1" applyBorder="1"/>
    <xf numFmtId="0" fontId="4" fillId="0" borderId="42" xfId="0" applyFont="1" applyBorder="1"/>
    <xf numFmtId="49" fontId="4" fillId="0" borderId="43" xfId="0" applyNumberFormat="1" applyFont="1" applyBorder="1"/>
    <xf numFmtId="0" fontId="4" fillId="0" borderId="43" xfId="0" applyFont="1" applyBorder="1"/>
    <xf numFmtId="49" fontId="4" fillId="0" borderId="45" xfId="0" applyNumberFormat="1" applyFont="1" applyBorder="1"/>
    <xf numFmtId="49" fontId="4" fillId="0" borderId="46" xfId="0" applyNumberFormat="1" applyFont="1" applyBorder="1"/>
    <xf numFmtId="49" fontId="4" fillId="0" borderId="47" xfId="0" applyNumberFormat="1" applyFont="1" applyBorder="1"/>
    <xf numFmtId="49" fontId="4" fillId="0" borderId="48" xfId="0" applyNumberFormat="1" applyFont="1" applyBorder="1"/>
    <xf numFmtId="49" fontId="4" fillId="0" borderId="49" xfId="0" applyNumberFormat="1" applyFont="1" applyBorder="1"/>
    <xf numFmtId="49" fontId="4" fillId="0" borderId="50" xfId="0" applyNumberFormat="1" applyFont="1" applyBorder="1"/>
    <xf numFmtId="49" fontId="4" fillId="0" borderId="51" xfId="0" applyNumberFormat="1" applyFont="1" applyBorder="1"/>
    <xf numFmtId="49" fontId="4" fillId="0" borderId="45" xfId="0" quotePrefix="1" applyNumberFormat="1" applyFont="1" applyBorder="1"/>
    <xf numFmtId="49" fontId="4" fillId="14" borderId="45" xfId="0" applyNumberFormat="1" applyFont="1" applyFill="1" applyBorder="1"/>
    <xf numFmtId="49" fontId="4" fillId="14" borderId="46" xfId="0" applyNumberFormat="1" applyFont="1" applyFill="1" applyBorder="1"/>
    <xf numFmtId="49" fontId="4" fillId="14" borderId="47" xfId="0" applyNumberFormat="1" applyFont="1" applyFill="1" applyBorder="1"/>
    <xf numFmtId="49" fontId="4" fillId="14" borderId="48" xfId="0" applyNumberFormat="1" applyFont="1" applyFill="1" applyBorder="1"/>
    <xf numFmtId="49" fontId="4" fillId="14" borderId="49" xfId="0" applyNumberFormat="1" applyFont="1" applyFill="1" applyBorder="1"/>
    <xf numFmtId="49" fontId="4" fillId="14" borderId="50" xfId="0" applyNumberFormat="1" applyFont="1" applyFill="1" applyBorder="1"/>
    <xf numFmtId="49" fontId="4" fillId="14" borderId="51" xfId="0" applyNumberFormat="1" applyFont="1" applyFill="1" applyBorder="1"/>
    <xf numFmtId="0" fontId="4" fillId="14" borderId="24" xfId="0" applyFont="1" applyFill="1" applyBorder="1"/>
    <xf numFmtId="0" fontId="4" fillId="14" borderId="0" xfId="0" applyFont="1" applyFill="1"/>
    <xf numFmtId="0" fontId="4" fillId="14" borderId="6" xfId="0" applyFont="1" applyFill="1" applyBorder="1"/>
    <xf numFmtId="0" fontId="4" fillId="14" borderId="12" xfId="0" applyFont="1" applyFill="1" applyBorder="1"/>
    <xf numFmtId="0" fontId="4" fillId="14" borderId="14" xfId="0" applyFont="1" applyFill="1" applyBorder="1"/>
    <xf numFmtId="0" fontId="4" fillId="14" borderId="4" xfId="0" applyFont="1" applyFill="1" applyBorder="1"/>
    <xf numFmtId="0" fontId="4" fillId="14" borderId="42" xfId="0" applyFont="1" applyFill="1" applyBorder="1"/>
    <xf numFmtId="49" fontId="4" fillId="23" borderId="45" xfId="0" applyNumberFormat="1" applyFont="1" applyFill="1" applyBorder="1"/>
    <xf numFmtId="49" fontId="4" fillId="23" borderId="46" xfId="0" applyNumberFormat="1" applyFont="1" applyFill="1" applyBorder="1"/>
    <xf numFmtId="49" fontId="4" fillId="23" borderId="47" xfId="0" applyNumberFormat="1" applyFont="1" applyFill="1" applyBorder="1"/>
    <xf numFmtId="49" fontId="4" fillId="23" borderId="48" xfId="0" applyNumberFormat="1" applyFont="1" applyFill="1" applyBorder="1"/>
    <xf numFmtId="49" fontId="4" fillId="23" borderId="49" xfId="0" applyNumberFormat="1" applyFont="1" applyFill="1" applyBorder="1"/>
    <xf numFmtId="49" fontId="4" fillId="23" borderId="50" xfId="0" applyNumberFormat="1" applyFont="1" applyFill="1" applyBorder="1"/>
    <xf numFmtId="49" fontId="4" fillId="23" borderId="51" xfId="0" applyNumberFormat="1" applyFont="1" applyFill="1" applyBorder="1"/>
    <xf numFmtId="49" fontId="4" fillId="23" borderId="0" xfId="0" applyNumberFormat="1" applyFont="1" applyFill="1"/>
    <xf numFmtId="0" fontId="4" fillId="23" borderId="24" xfId="0" applyFont="1" applyFill="1" applyBorder="1"/>
    <xf numFmtId="0" fontId="4" fillId="23" borderId="0" xfId="0" applyFont="1" applyFill="1"/>
    <xf numFmtId="0" fontId="4" fillId="23" borderId="6" xfId="0" applyFont="1" applyFill="1" applyBorder="1"/>
    <xf numFmtId="0" fontId="4" fillId="23" borderId="12" xfId="0" applyFont="1" applyFill="1" applyBorder="1"/>
    <xf numFmtId="0" fontId="4" fillId="23" borderId="14" xfId="0" applyFont="1" applyFill="1" applyBorder="1"/>
    <xf numFmtId="0" fontId="4" fillId="23" borderId="4" xfId="0" applyFont="1" applyFill="1" applyBorder="1"/>
    <xf numFmtId="0" fontId="4" fillId="23" borderId="42" xfId="0" applyFont="1" applyFill="1" applyBorder="1"/>
    <xf numFmtId="49" fontId="4" fillId="23" borderId="42" xfId="0" applyNumberFormat="1" applyFont="1" applyFill="1" applyBorder="1"/>
    <xf numFmtId="49" fontId="4" fillId="23" borderId="0" xfId="0" applyNumberFormat="1" applyFont="1" applyFill="1" applyBorder="1"/>
    <xf numFmtId="0" fontId="10" fillId="22" borderId="39" xfId="0" applyFont="1" applyFill="1" applyBorder="1" applyAlignment="1">
      <alignment horizontal="center"/>
    </xf>
    <xf numFmtId="0" fontId="2" fillId="0" borderId="0" xfId="1">
      <alignment vertical="center"/>
    </xf>
    <xf numFmtId="49" fontId="6" fillId="0" borderId="0" xfId="1" applyNumberFormat="1" applyFont="1" applyAlignment="1"/>
    <xf numFmtId="49" fontId="6" fillId="0" borderId="0" xfId="1" applyNumberFormat="1" applyFont="1">
      <alignment vertical="center"/>
    </xf>
    <xf numFmtId="0" fontId="6" fillId="0" borderId="0" xfId="1" applyFont="1">
      <alignment vertical="center"/>
    </xf>
    <xf numFmtId="49" fontId="4" fillId="0" borderId="0" xfId="1" applyNumberFormat="1" applyFont="1" applyAlignment="1"/>
    <xf numFmtId="49" fontId="4" fillId="0" borderId="37" xfId="1" applyNumberFormat="1" applyFont="1" applyBorder="1" applyAlignment="1"/>
    <xf numFmtId="49" fontId="4" fillId="13" borderId="0" xfId="1" applyNumberFormat="1" applyFont="1" applyFill="1" applyAlignment="1"/>
    <xf numFmtId="49" fontId="4" fillId="24" borderId="0" xfId="1" applyNumberFormat="1" applyFont="1" applyFill="1" applyAlignment="1"/>
    <xf numFmtId="49" fontId="4" fillId="24" borderId="37" xfId="1" applyNumberFormat="1" applyFont="1" applyFill="1" applyBorder="1" applyAlignment="1"/>
    <xf numFmtId="49" fontId="6" fillId="24" borderId="0" xfId="1" applyNumberFormat="1" applyFont="1" applyFill="1" applyAlignment="1"/>
    <xf numFmtId="49" fontId="4" fillId="14" borderId="0" xfId="1" applyNumberFormat="1" applyFont="1" applyFill="1" applyAlignment="1"/>
    <xf numFmtId="49" fontId="4" fillId="14" borderId="37" xfId="1" applyNumberFormat="1" applyFont="1" applyFill="1" applyBorder="1" applyAlignment="1"/>
    <xf numFmtId="0" fontId="6" fillId="14" borderId="0" xfId="1" applyFont="1" applyFill="1">
      <alignment vertical="center"/>
    </xf>
    <xf numFmtId="0" fontId="6" fillId="24" borderId="0" xfId="1" applyFont="1" applyFill="1">
      <alignment vertical="center"/>
    </xf>
    <xf numFmtId="49" fontId="4" fillId="4" borderId="0" xfId="1" applyNumberFormat="1" applyFont="1" applyFill="1" applyAlignment="1"/>
    <xf numFmtId="49" fontId="4" fillId="4" borderId="37" xfId="1" applyNumberFormat="1" applyFont="1" applyFill="1" applyBorder="1" applyAlignment="1"/>
    <xf numFmtId="49" fontId="6" fillId="4" borderId="0" xfId="1" applyNumberFormat="1" applyFont="1" applyFill="1">
      <alignment vertical="center"/>
    </xf>
    <xf numFmtId="49" fontId="4" fillId="7" borderId="0" xfId="1" applyNumberFormat="1" applyFont="1" applyFill="1" applyAlignment="1"/>
    <xf numFmtId="49" fontId="4" fillId="7" borderId="37" xfId="1" applyNumberFormat="1" applyFont="1" applyFill="1" applyBorder="1" applyAlignment="1"/>
    <xf numFmtId="0" fontId="6" fillId="7" borderId="0" xfId="1" applyFont="1" applyFill="1">
      <alignment vertical="center"/>
    </xf>
    <xf numFmtId="0" fontId="6" fillId="7" borderId="37" xfId="1" applyFont="1" applyFill="1" applyBorder="1">
      <alignment vertical="center"/>
    </xf>
    <xf numFmtId="0" fontId="4" fillId="7" borderId="0" xfId="1" applyFont="1" applyFill="1">
      <alignment vertical="center"/>
    </xf>
    <xf numFmtId="49" fontId="6" fillId="13" borderId="0" xfId="1" applyNumberFormat="1" applyFont="1" applyFill="1">
      <alignment vertical="center"/>
    </xf>
    <xf numFmtId="49" fontId="6" fillId="7" borderId="0" xfId="1" applyNumberFormat="1" applyFont="1" applyFill="1">
      <alignment vertical="center"/>
    </xf>
    <xf numFmtId="49" fontId="4" fillId="5" borderId="0" xfId="1" applyNumberFormat="1" applyFont="1" applyFill="1" applyAlignment="1"/>
    <xf numFmtId="49" fontId="4" fillId="5" borderId="37" xfId="1" applyNumberFormat="1" applyFont="1" applyFill="1" applyBorder="1" applyAlignment="1"/>
    <xf numFmtId="49" fontId="6" fillId="5" borderId="0" xfId="1" applyNumberFormat="1" applyFont="1" applyFill="1">
      <alignment vertical="center"/>
    </xf>
    <xf numFmtId="0" fontId="2" fillId="0" borderId="37" xfId="1" applyBorder="1">
      <alignment vertical="center"/>
    </xf>
    <xf numFmtId="0" fontId="2" fillId="0" borderId="0" xfId="1" applyAlignment="1">
      <alignment horizontal="right" vertical="center"/>
    </xf>
    <xf numFmtId="49" fontId="6" fillId="0" borderId="0" xfId="1" applyNumberFormat="1" applyFont="1" applyAlignment="1">
      <alignment horizontal="right"/>
    </xf>
    <xf numFmtId="49" fontId="6" fillId="0" borderId="0" xfId="1" applyNumberFormat="1" applyFont="1" applyAlignment="1">
      <alignment horizontal="right" vertical="center"/>
    </xf>
    <xf numFmtId="0" fontId="2" fillId="0" borderId="0" xfId="1" quotePrefix="1">
      <alignment vertical="center"/>
    </xf>
    <xf numFmtId="49" fontId="9" fillId="19" borderId="1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49" fontId="9" fillId="19" borderId="22" xfId="0" applyNumberFormat="1" applyFont="1" applyFill="1" applyBorder="1" applyAlignment="1">
      <alignment horizontal="center" vertical="center" wrapText="1"/>
    </xf>
    <xf numFmtId="49" fontId="9" fillId="19" borderId="23" xfId="0" applyNumberFormat="1" applyFont="1" applyFill="1" applyBorder="1" applyAlignment="1">
      <alignment horizontal="center" vertical="center" wrapText="1"/>
    </xf>
    <xf numFmtId="49" fontId="9" fillId="19" borderId="21" xfId="0" applyNumberFormat="1" applyFont="1" applyFill="1" applyBorder="1" applyAlignment="1">
      <alignment horizontal="center" vertical="center" wrapText="1"/>
    </xf>
    <xf numFmtId="49" fontId="4" fillId="2" borderId="53" xfId="0" applyNumberFormat="1" applyFont="1" applyFill="1" applyBorder="1"/>
    <xf numFmtId="49" fontId="4" fillId="6" borderId="53" xfId="0" applyNumberFormat="1" applyFont="1" applyFill="1" applyBorder="1"/>
    <xf numFmtId="49" fontId="5" fillId="0" borderId="53" xfId="0" applyNumberFormat="1" applyFont="1" applyBorder="1"/>
    <xf numFmtId="49" fontId="4" fillId="0" borderId="53" xfId="0" applyNumberFormat="1" applyFont="1" applyBorder="1"/>
    <xf numFmtId="49" fontId="4" fillId="17" borderId="53" xfId="0" applyNumberFormat="1" applyFont="1" applyFill="1" applyBorder="1"/>
    <xf numFmtId="49" fontId="4" fillId="21" borderId="53" xfId="0" applyNumberFormat="1" applyFont="1" applyFill="1" applyBorder="1"/>
    <xf numFmtId="49" fontId="4" fillId="7" borderId="53" xfId="0" applyNumberFormat="1" applyFont="1" applyFill="1" applyBorder="1"/>
    <xf numFmtId="49" fontId="4" fillId="8" borderId="53" xfId="0" applyNumberFormat="1" applyFont="1" applyFill="1" applyBorder="1"/>
    <xf numFmtId="49" fontId="4" fillId="8" borderId="54" xfId="0" applyNumberFormat="1" applyFont="1" applyFill="1" applyBorder="1"/>
    <xf numFmtId="49" fontId="4" fillId="20" borderId="53" xfId="0" applyNumberFormat="1" applyFont="1" applyFill="1" applyBorder="1"/>
    <xf numFmtId="49" fontId="4" fillId="20" borderId="54" xfId="0" applyNumberFormat="1" applyFont="1" applyFill="1" applyBorder="1"/>
    <xf numFmtId="49" fontId="4" fillId="14" borderId="53" xfId="0" applyNumberFormat="1" applyFont="1" applyFill="1" applyBorder="1"/>
    <xf numFmtId="49" fontId="4" fillId="5" borderId="53" xfId="0" applyNumberFormat="1" applyFont="1" applyFill="1" applyBorder="1"/>
    <xf numFmtId="49" fontId="4" fillId="4" borderId="53" xfId="0" applyNumberFormat="1" applyFont="1" applyFill="1" applyBorder="1"/>
    <xf numFmtId="49" fontId="4" fillId="15" borderId="53" xfId="0" applyNumberFormat="1" applyFont="1" applyFill="1" applyBorder="1"/>
    <xf numFmtId="49" fontId="4" fillId="6" borderId="55" xfId="0" applyNumberFormat="1" applyFont="1" applyFill="1" applyBorder="1"/>
    <xf numFmtId="49" fontId="4" fillId="6" borderId="52" xfId="0" applyNumberFormat="1" applyFont="1" applyFill="1" applyBorder="1"/>
    <xf numFmtId="49" fontId="4" fillId="6" borderId="56" xfId="0" applyNumberFormat="1" applyFont="1" applyFill="1" applyBorder="1"/>
    <xf numFmtId="49" fontId="4" fillId="7" borderId="57" xfId="0" applyNumberFormat="1" applyFont="1" applyFill="1" applyBorder="1"/>
    <xf numFmtId="49" fontId="4" fillId="7" borderId="52" xfId="0" applyNumberFormat="1" applyFont="1" applyFill="1" applyBorder="1"/>
    <xf numFmtId="49" fontId="4" fillId="7" borderId="58" xfId="0" applyNumberFormat="1" applyFont="1" applyFill="1" applyBorder="1"/>
    <xf numFmtId="49" fontId="4" fillId="5" borderId="59" xfId="0" applyNumberFormat="1" applyFont="1" applyFill="1" applyBorder="1"/>
    <xf numFmtId="49" fontId="4" fillId="5" borderId="52" xfId="0" applyNumberFormat="1" applyFont="1" applyFill="1" applyBorder="1"/>
    <xf numFmtId="49" fontId="4" fillId="11" borderId="60" xfId="0" applyNumberFormat="1" applyFont="1" applyFill="1" applyBorder="1"/>
    <xf numFmtId="49" fontId="4" fillId="11" borderId="52" xfId="0" applyNumberFormat="1" applyFont="1" applyFill="1" applyBorder="1"/>
    <xf numFmtId="49" fontId="4" fillId="4" borderId="61" xfId="0" applyNumberFormat="1" applyFont="1" applyFill="1" applyBorder="1"/>
    <xf numFmtId="49" fontId="4" fillId="4" borderId="52" xfId="0" applyNumberFormat="1" applyFont="1" applyFill="1" applyBorder="1"/>
    <xf numFmtId="49" fontId="4" fillId="6" borderId="62" xfId="0" applyNumberFormat="1" applyFont="1" applyFill="1" applyBorder="1"/>
    <xf numFmtId="49" fontId="16" fillId="2" borderId="0" xfId="0" applyNumberFormat="1" applyFont="1" applyFill="1"/>
    <xf numFmtId="49" fontId="16" fillId="6" borderId="52" xfId="0" applyNumberFormat="1" applyFont="1" applyFill="1" applyBorder="1"/>
    <xf numFmtId="49" fontId="16" fillId="0" borderId="0" xfId="0" applyNumberFormat="1" applyFont="1"/>
    <xf numFmtId="49" fontId="16" fillId="6" borderId="0" xfId="0" applyNumberFormat="1" applyFont="1" applyFill="1"/>
    <xf numFmtId="49" fontId="16" fillId="17" borderId="0" xfId="0" applyNumberFormat="1" applyFont="1" applyFill="1"/>
    <xf numFmtId="49" fontId="16" fillId="21" borderId="0" xfId="0" applyNumberFormat="1" applyFont="1" applyFill="1"/>
    <xf numFmtId="49" fontId="16" fillId="7" borderId="0" xfId="0" applyNumberFormat="1" applyFont="1" applyFill="1"/>
    <xf numFmtId="49" fontId="16" fillId="8" borderId="0" xfId="0" applyNumberFormat="1" applyFont="1" applyFill="1"/>
    <xf numFmtId="49" fontId="16" fillId="8" borderId="1" xfId="0" applyNumberFormat="1" applyFont="1" applyFill="1" applyBorder="1"/>
    <xf numFmtId="49" fontId="16" fillId="20" borderId="0" xfId="0" applyNumberFormat="1" applyFont="1" applyFill="1"/>
    <xf numFmtId="49" fontId="16" fillId="20" borderId="1" xfId="0" applyNumberFormat="1" applyFont="1" applyFill="1" applyBorder="1"/>
    <xf numFmtId="49" fontId="16" fillId="14" borderId="0" xfId="0" applyNumberFormat="1" applyFont="1" applyFill="1"/>
    <xf numFmtId="49" fontId="16" fillId="5" borderId="0" xfId="0" applyNumberFormat="1" applyFont="1" applyFill="1"/>
    <xf numFmtId="49" fontId="16" fillId="4" borderId="0" xfId="0" applyNumberFormat="1" applyFont="1" applyFill="1"/>
    <xf numFmtId="49" fontId="16" fillId="15" borderId="0" xfId="0" applyNumberFormat="1" applyFont="1" applyFill="1"/>
    <xf numFmtId="0" fontId="1" fillId="0" borderId="0" xfId="1" applyFont="1">
      <alignment vertical="center"/>
    </xf>
  </cellXfs>
  <cellStyles count="2">
    <cellStyle name="표준" xfId="0" builtinId="0"/>
    <cellStyle name="표준 2" xfId="1" xr:uid="{BBCC1EA9-E826-47E6-B2EC-05D9C7722AFA}"/>
  </cellStyles>
  <dxfs count="70"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CCFF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  <border>
        <vertical/>
        <horizontal/>
      </border>
    </dxf>
    <dxf>
      <fill>
        <patternFill>
          <bgColor theme="8" tint="0.79998168889431442"/>
        </patternFill>
      </fill>
      <border>
        <vertical/>
        <horizontal/>
      </border>
    </dxf>
    <dxf>
      <fill>
        <patternFill>
          <bgColor rgb="FFFFCCFF"/>
        </patternFill>
      </fill>
      <border>
        <vertical/>
        <horizontal/>
      </border>
    </dxf>
    <dxf>
      <fill>
        <patternFill>
          <bgColor theme="5" tint="0.79998168889431442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7030A0"/>
      </font>
      <fill>
        <patternFill>
          <bgColor rgb="FFFFCCFF"/>
        </patternFill>
      </fill>
    </dxf>
    <dxf>
      <font>
        <color rgb="FFFF0000"/>
      </font>
      <fill>
        <patternFill>
          <bgColor theme="1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theme="1" tint="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7030A0"/>
      </font>
      <fill>
        <patternFill>
          <bgColor rgb="FFFFCCFF"/>
        </patternFill>
      </fill>
    </dxf>
    <dxf>
      <font>
        <color rgb="FF9C0006"/>
      </font>
      <fill>
        <patternFill>
          <bgColor theme="1" tint="0.499984740745262"/>
        </patternFill>
      </fill>
    </dxf>
    <dxf>
      <font>
        <color theme="5" tint="-0.499984740745262"/>
      </font>
      <fill>
        <patternFill>
          <bgColor theme="7" tint="0.79998168889431442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CC00"/>
      <color rgb="FF99CCFF"/>
      <color rgb="FFFF99FF"/>
      <color rgb="FFFF00FF"/>
      <color rgb="FFFF3333"/>
      <color rgb="FFCC9966"/>
      <color rgb="FF00FF99"/>
      <color rgb="FF9999DD"/>
      <color rgb="FF9999FF"/>
      <color rgb="FF6666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83177-F9D7-412D-8879-A5329963432E}">
  <dimension ref="A1:D41"/>
  <sheetViews>
    <sheetView workbookViewId="0">
      <selection activeCell="B18" sqref="B18"/>
    </sheetView>
  </sheetViews>
  <sheetFormatPr defaultRowHeight="16.5"/>
  <cols>
    <col min="1" max="1" width="21.75" style="298" customWidth="1"/>
    <col min="2" max="2" width="45" style="298" customWidth="1"/>
    <col min="3" max="3" width="36.375" style="298" customWidth="1"/>
    <col min="4" max="4" width="58.5" style="298" customWidth="1"/>
    <col min="5" max="16384" width="9" style="298"/>
  </cols>
  <sheetData>
    <row r="1" spans="1:4">
      <c r="A1" s="298" t="s">
        <v>1058</v>
      </c>
      <c r="B1" s="298" t="s">
        <v>1057</v>
      </c>
      <c r="C1" s="298" t="s">
        <v>1056</v>
      </c>
      <c r="D1" s="298" t="s">
        <v>1055</v>
      </c>
    </row>
    <row r="2" spans="1:4">
      <c r="A2" s="300" t="s">
        <v>247</v>
      </c>
      <c r="B2" s="301" t="s">
        <v>1054</v>
      </c>
      <c r="C2" s="300" t="s">
        <v>69</v>
      </c>
      <c r="D2" s="299"/>
    </row>
    <row r="3" spans="1:4">
      <c r="A3" s="300" t="s">
        <v>248</v>
      </c>
      <c r="B3" s="301" t="s">
        <v>1053</v>
      </c>
      <c r="C3" s="300" t="s">
        <v>1050</v>
      </c>
      <c r="D3" s="299"/>
    </row>
    <row r="4" spans="1:4">
      <c r="A4" s="300" t="s">
        <v>248</v>
      </c>
      <c r="B4" s="301" t="s">
        <v>1052</v>
      </c>
      <c r="C4" s="300" t="s">
        <v>1048</v>
      </c>
      <c r="D4" s="299"/>
    </row>
    <row r="5" spans="1:4">
      <c r="A5" s="300" t="s">
        <v>248</v>
      </c>
      <c r="B5" s="301" t="s">
        <v>1051</v>
      </c>
      <c r="C5" s="300" t="s">
        <v>1050</v>
      </c>
      <c r="D5" s="299"/>
    </row>
    <row r="6" spans="1:4">
      <c r="A6" s="300" t="s">
        <v>248</v>
      </c>
      <c r="B6" s="301" t="s">
        <v>1049</v>
      </c>
      <c r="C6" s="300" t="s">
        <v>1048</v>
      </c>
      <c r="D6" s="299"/>
    </row>
    <row r="7" spans="1:4">
      <c r="A7" s="300" t="s">
        <v>242</v>
      </c>
      <c r="B7" s="301" t="s">
        <v>1047</v>
      </c>
      <c r="C7" s="300">
        <v>2</v>
      </c>
      <c r="D7" s="299"/>
    </row>
    <row r="8" spans="1:4">
      <c r="A8" s="300" t="s">
        <v>1031</v>
      </c>
      <c r="B8" s="301" t="s">
        <v>1046</v>
      </c>
      <c r="C8" s="300" t="s">
        <v>1045</v>
      </c>
      <c r="D8" s="298" t="s">
        <v>1044</v>
      </c>
    </row>
    <row r="9" spans="1:4">
      <c r="A9" s="300" t="s">
        <v>1031</v>
      </c>
      <c r="B9" s="301" t="s">
        <v>1043</v>
      </c>
      <c r="C9" s="300" t="s">
        <v>1042</v>
      </c>
      <c r="D9" s="298" t="s">
        <v>1041</v>
      </c>
    </row>
    <row r="10" spans="1:4">
      <c r="A10" s="300" t="s">
        <v>1031</v>
      </c>
      <c r="B10" s="301" t="s">
        <v>1040</v>
      </c>
      <c r="C10" s="300" t="s">
        <v>1039</v>
      </c>
      <c r="D10" s="298" t="s">
        <v>1038</v>
      </c>
    </row>
    <row r="11" spans="1:4">
      <c r="A11" s="300" t="s">
        <v>1031</v>
      </c>
      <c r="B11" s="301" t="s">
        <v>1037</v>
      </c>
      <c r="C11" s="300" t="s">
        <v>1036</v>
      </c>
      <c r="D11" s="298" t="s">
        <v>1035</v>
      </c>
    </row>
    <row r="12" spans="1:4">
      <c r="A12" s="300" t="s">
        <v>1031</v>
      </c>
      <c r="B12" s="301" t="s">
        <v>1034</v>
      </c>
      <c r="C12" s="300" t="s">
        <v>1033</v>
      </c>
      <c r="D12" s="298" t="s">
        <v>1032</v>
      </c>
    </row>
    <row r="13" spans="1:4">
      <c r="A13" s="300" t="s">
        <v>1031</v>
      </c>
      <c r="B13" s="301" t="s">
        <v>1030</v>
      </c>
      <c r="C13" s="300" t="s">
        <v>1029</v>
      </c>
      <c r="D13" s="298" t="s">
        <v>1028</v>
      </c>
    </row>
    <row r="14" spans="1:4">
      <c r="A14" s="300" t="s">
        <v>242</v>
      </c>
      <c r="B14" s="301" t="s">
        <v>1027</v>
      </c>
      <c r="C14" s="300" t="s">
        <v>37</v>
      </c>
      <c r="D14" s="299"/>
    </row>
    <row r="15" spans="1:4">
      <c r="A15" s="300" t="s">
        <v>248</v>
      </c>
      <c r="B15" s="301" t="s">
        <v>1026</v>
      </c>
      <c r="C15" s="300">
        <v>1.25</v>
      </c>
      <c r="D15" s="299"/>
    </row>
    <row r="16" spans="1:4">
      <c r="A16" s="300" t="s">
        <v>248</v>
      </c>
      <c r="B16" s="301" t="s">
        <v>1594</v>
      </c>
      <c r="C16" s="300" t="s">
        <v>1356</v>
      </c>
      <c r="D16" s="299"/>
    </row>
    <row r="17" spans="1:4">
      <c r="A17" s="300" t="s">
        <v>248</v>
      </c>
      <c r="B17" s="301" t="s">
        <v>1595</v>
      </c>
      <c r="C17" s="300" t="s">
        <v>42</v>
      </c>
      <c r="D17" s="299"/>
    </row>
    <row r="18" spans="1:4">
      <c r="A18" s="300" t="s">
        <v>242</v>
      </c>
      <c r="B18" s="301" t="s">
        <v>1025</v>
      </c>
      <c r="C18" s="300">
        <v>10</v>
      </c>
      <c r="D18" s="299" t="s">
        <v>1024</v>
      </c>
    </row>
    <row r="19" spans="1:4">
      <c r="A19" s="300" t="s">
        <v>242</v>
      </c>
      <c r="B19" s="301" t="s">
        <v>1023</v>
      </c>
      <c r="C19" s="300" t="s">
        <v>1022</v>
      </c>
      <c r="D19" s="299" t="s">
        <v>1021</v>
      </c>
    </row>
    <row r="20" spans="1:4">
      <c r="A20" s="300" t="s">
        <v>242</v>
      </c>
      <c r="B20" s="301" t="s">
        <v>1020</v>
      </c>
      <c r="C20" s="300" t="s">
        <v>1019</v>
      </c>
      <c r="D20" s="299" t="s">
        <v>1018</v>
      </c>
    </row>
    <row r="21" spans="1:4">
      <c r="A21" s="300" t="s">
        <v>242</v>
      </c>
      <c r="B21" s="301" t="s">
        <v>1017</v>
      </c>
      <c r="C21" s="300" t="s">
        <v>1016</v>
      </c>
      <c r="D21" s="299" t="s">
        <v>1015</v>
      </c>
    </row>
    <row r="22" spans="1:4">
      <c r="A22" s="300" t="s">
        <v>242</v>
      </c>
      <c r="B22" s="301" t="s">
        <v>1014</v>
      </c>
      <c r="C22" s="300" t="s">
        <v>1013</v>
      </c>
      <c r="D22" s="299" t="s">
        <v>1012</v>
      </c>
    </row>
    <row r="23" spans="1:4">
      <c r="A23" s="300" t="s">
        <v>242</v>
      </c>
      <c r="B23" s="301" t="s">
        <v>1011</v>
      </c>
      <c r="C23" s="300" t="s">
        <v>1010</v>
      </c>
      <c r="D23" s="299" t="s">
        <v>1009</v>
      </c>
    </row>
    <row r="24" spans="1:4">
      <c r="A24" s="300" t="s">
        <v>242</v>
      </c>
      <c r="B24" s="301" t="s">
        <v>1008</v>
      </c>
      <c r="C24" s="300" t="s">
        <v>1007</v>
      </c>
      <c r="D24" s="299" t="s">
        <v>1006</v>
      </c>
    </row>
    <row r="25" spans="1:4">
      <c r="A25" s="300" t="s">
        <v>242</v>
      </c>
      <c r="B25" s="301" t="s">
        <v>1005</v>
      </c>
      <c r="C25" s="300" t="s">
        <v>1004</v>
      </c>
      <c r="D25" s="299" t="s">
        <v>1003</v>
      </c>
    </row>
    <row r="26" spans="1:4">
      <c r="A26" s="300" t="s">
        <v>243</v>
      </c>
      <c r="B26" s="301" t="s">
        <v>1002</v>
      </c>
      <c r="C26" s="300" t="s">
        <v>1001</v>
      </c>
      <c r="D26" s="299" t="s">
        <v>1000</v>
      </c>
    </row>
    <row r="27" spans="1:4">
      <c r="A27" s="300" t="s">
        <v>243</v>
      </c>
      <c r="B27" s="301" t="s">
        <v>999</v>
      </c>
      <c r="C27" s="300" t="s">
        <v>998</v>
      </c>
      <c r="D27" s="299" t="s">
        <v>997</v>
      </c>
    </row>
    <row r="28" spans="1:4">
      <c r="A28" s="300" t="s">
        <v>243</v>
      </c>
      <c r="B28" s="301" t="s">
        <v>996</v>
      </c>
      <c r="C28" s="300" t="s">
        <v>995</v>
      </c>
      <c r="D28" s="299" t="s">
        <v>994</v>
      </c>
    </row>
    <row r="29" spans="1:4">
      <c r="A29" s="300" t="s">
        <v>243</v>
      </c>
      <c r="B29" s="301" t="s">
        <v>993</v>
      </c>
      <c r="C29" s="300" t="s">
        <v>992</v>
      </c>
      <c r="D29" s="299" t="s">
        <v>991</v>
      </c>
    </row>
    <row r="30" spans="1:4">
      <c r="A30" s="300" t="s">
        <v>242</v>
      </c>
      <c r="B30" s="301" t="s">
        <v>990</v>
      </c>
      <c r="C30" s="300" t="s">
        <v>989</v>
      </c>
      <c r="D30" s="299" t="s">
        <v>988</v>
      </c>
    </row>
    <row r="31" spans="1:4">
      <c r="A31" s="300" t="s">
        <v>242</v>
      </c>
      <c r="B31" s="301" t="s">
        <v>987</v>
      </c>
      <c r="C31" s="300">
        <v>32</v>
      </c>
      <c r="D31" s="299" t="s">
        <v>986</v>
      </c>
    </row>
    <row r="32" spans="1:4">
      <c r="A32" s="300" t="s">
        <v>242</v>
      </c>
      <c r="B32" s="301" t="s">
        <v>985</v>
      </c>
      <c r="C32" s="300">
        <v>0</v>
      </c>
      <c r="D32" s="298" t="s">
        <v>984</v>
      </c>
    </row>
    <row r="33" spans="1:4">
      <c r="A33" s="300" t="s">
        <v>242</v>
      </c>
      <c r="B33" s="301" t="s">
        <v>983</v>
      </c>
      <c r="C33" s="300">
        <v>1</v>
      </c>
      <c r="D33" s="298" t="s">
        <v>982</v>
      </c>
    </row>
    <row r="34" spans="1:4">
      <c r="A34" s="300" t="s">
        <v>242</v>
      </c>
      <c r="B34" s="301" t="s">
        <v>981</v>
      </c>
      <c r="C34" s="300">
        <v>2</v>
      </c>
      <c r="D34" s="298" t="s">
        <v>980</v>
      </c>
    </row>
    <row r="35" spans="1:4">
      <c r="A35" s="300" t="s">
        <v>242</v>
      </c>
      <c r="B35" s="301" t="s">
        <v>979</v>
      </c>
      <c r="C35" s="300">
        <v>3</v>
      </c>
      <c r="D35" s="298" t="s">
        <v>978</v>
      </c>
    </row>
    <row r="36" spans="1:4">
      <c r="A36" s="300" t="s">
        <v>242</v>
      </c>
      <c r="B36" s="301" t="s">
        <v>977</v>
      </c>
      <c r="C36" s="300">
        <v>4</v>
      </c>
      <c r="D36" s="298" t="s">
        <v>976</v>
      </c>
    </row>
    <row r="37" spans="1:4">
      <c r="A37" s="300" t="s">
        <v>242</v>
      </c>
      <c r="B37" s="301" t="s">
        <v>975</v>
      </c>
      <c r="C37" s="300">
        <v>5</v>
      </c>
      <c r="D37" s="298" t="s">
        <v>974</v>
      </c>
    </row>
    <row r="38" spans="1:4">
      <c r="A38" s="300" t="s">
        <v>242</v>
      </c>
      <c r="B38" s="301" t="s">
        <v>973</v>
      </c>
      <c r="C38" s="300">
        <v>0</v>
      </c>
      <c r="D38" s="299"/>
    </row>
    <row r="39" spans="1:4">
      <c r="A39" s="300" t="s">
        <v>242</v>
      </c>
      <c r="B39" s="301" t="s">
        <v>972</v>
      </c>
      <c r="C39" s="300">
        <v>16</v>
      </c>
      <c r="D39" s="299"/>
    </row>
    <row r="40" spans="1:4">
      <c r="A40" s="300" t="s">
        <v>242</v>
      </c>
      <c r="B40" s="301" t="s">
        <v>971</v>
      </c>
      <c r="C40" s="300">
        <v>240</v>
      </c>
      <c r="D40" s="299"/>
    </row>
    <row r="41" spans="1:4">
      <c r="A41" s="300" t="s">
        <v>242</v>
      </c>
      <c r="B41" s="301" t="s">
        <v>970</v>
      </c>
      <c r="C41" s="300">
        <v>96</v>
      </c>
      <c r="D41" s="299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C71C1-CC76-4012-AAD2-F78EFE9D6129}">
  <dimension ref="A1:E219"/>
  <sheetViews>
    <sheetView tabSelected="1" workbookViewId="0">
      <pane ySplit="1" topLeftCell="A164" activePane="bottomLeft" state="frozen"/>
      <selection pane="bottomLeft" activeCell="B185" sqref="B185"/>
    </sheetView>
  </sheetViews>
  <sheetFormatPr defaultRowHeight="16.5"/>
  <cols>
    <col min="1" max="1" width="17.375" style="298" customWidth="1"/>
    <col min="2" max="2" width="54.625" style="298" customWidth="1"/>
    <col min="3" max="3" width="9" style="326"/>
    <col min="4" max="4" width="115.625" style="298" customWidth="1"/>
    <col min="5" max="16384" width="9" style="298"/>
  </cols>
  <sheetData>
    <row r="1" spans="1:5">
      <c r="A1" s="298" t="s">
        <v>1058</v>
      </c>
      <c r="B1" s="298" t="s">
        <v>1057</v>
      </c>
      <c r="C1" s="326" t="s">
        <v>1056</v>
      </c>
      <c r="D1" s="298" t="s">
        <v>1588</v>
      </c>
      <c r="E1" s="298" t="s">
        <v>1589</v>
      </c>
    </row>
    <row r="2" spans="1:5">
      <c r="A2" s="300" t="s">
        <v>242</v>
      </c>
      <c r="B2" s="301" t="s">
        <v>1587</v>
      </c>
      <c r="C2" s="328">
        <v>1</v>
      </c>
    </row>
    <row r="3" spans="1:5">
      <c r="A3" s="300" t="s">
        <v>242</v>
      </c>
      <c r="B3" s="301" t="s">
        <v>1586</v>
      </c>
      <c r="C3" s="328">
        <v>2</v>
      </c>
    </row>
    <row r="4" spans="1:5">
      <c r="A4" s="300" t="s">
        <v>242</v>
      </c>
      <c r="B4" s="301" t="s">
        <v>1585</v>
      </c>
      <c r="C4" s="328">
        <v>0</v>
      </c>
      <c r="D4" s="298" t="s">
        <v>1584</v>
      </c>
    </row>
    <row r="5" spans="1:5">
      <c r="A5" s="300" t="s">
        <v>242</v>
      </c>
      <c r="B5" s="301" t="s">
        <v>1583</v>
      </c>
      <c r="C5" s="328">
        <v>1</v>
      </c>
      <c r="D5" s="298" t="s">
        <v>1582</v>
      </c>
    </row>
    <row r="6" spans="1:5">
      <c r="A6" s="300" t="s">
        <v>242</v>
      </c>
      <c r="B6" s="301" t="s">
        <v>1581</v>
      </c>
      <c r="C6" s="328">
        <v>2</v>
      </c>
      <c r="D6" s="298" t="s">
        <v>1580</v>
      </c>
    </row>
    <row r="7" spans="1:5">
      <c r="A7" s="300" t="s">
        <v>242</v>
      </c>
      <c r="B7" s="301" t="s">
        <v>1579</v>
      </c>
      <c r="C7" s="328">
        <v>3</v>
      </c>
      <c r="D7" s="298" t="s">
        <v>1578</v>
      </c>
    </row>
    <row r="8" spans="1:5">
      <c r="A8" s="300" t="s">
        <v>242</v>
      </c>
      <c r="B8" s="301" t="s">
        <v>1577</v>
      </c>
      <c r="C8" s="328">
        <v>4</v>
      </c>
      <c r="D8" s="298" t="s">
        <v>1576</v>
      </c>
    </row>
    <row r="9" spans="1:5">
      <c r="A9" s="300" t="s">
        <v>242</v>
      </c>
      <c r="B9" s="301" t="s">
        <v>1575</v>
      </c>
      <c r="C9" s="328">
        <v>5</v>
      </c>
      <c r="D9" s="298" t="s">
        <v>1574</v>
      </c>
    </row>
    <row r="10" spans="1:5">
      <c r="A10" s="300" t="s">
        <v>242</v>
      </c>
      <c r="B10" s="301" t="s">
        <v>928</v>
      </c>
      <c r="C10" s="328">
        <v>0</v>
      </c>
      <c r="D10" s="298" t="s">
        <v>1573</v>
      </c>
    </row>
    <row r="11" spans="1:5">
      <c r="A11" s="300" t="s">
        <v>242</v>
      </c>
      <c r="B11" s="301" t="s">
        <v>933</v>
      </c>
      <c r="C11" s="328">
        <v>1</v>
      </c>
      <c r="D11" s="298" t="s">
        <v>1572</v>
      </c>
    </row>
    <row r="12" spans="1:5">
      <c r="A12" s="300" t="s">
        <v>242</v>
      </c>
      <c r="B12" s="301" t="s">
        <v>927</v>
      </c>
      <c r="C12" s="328">
        <v>2</v>
      </c>
      <c r="D12" s="298" t="s">
        <v>1571</v>
      </c>
    </row>
    <row r="13" spans="1:5">
      <c r="A13" s="300" t="s">
        <v>242</v>
      </c>
      <c r="B13" s="301" t="s">
        <v>925</v>
      </c>
      <c r="C13" s="328">
        <v>3</v>
      </c>
      <c r="D13" s="298" t="s">
        <v>1570</v>
      </c>
    </row>
    <row r="14" spans="1:5">
      <c r="A14" s="300" t="s">
        <v>242</v>
      </c>
      <c r="B14" s="301" t="s">
        <v>926</v>
      </c>
      <c r="C14" s="328">
        <v>4</v>
      </c>
      <c r="D14" s="298" t="s">
        <v>1569</v>
      </c>
    </row>
    <row r="15" spans="1:5">
      <c r="A15" s="300" t="s">
        <v>242</v>
      </c>
      <c r="B15" s="301" t="s">
        <v>936</v>
      </c>
      <c r="C15" s="328">
        <v>5</v>
      </c>
      <c r="D15" s="298" t="s">
        <v>1568</v>
      </c>
    </row>
    <row r="16" spans="1:5">
      <c r="A16" s="300" t="s">
        <v>242</v>
      </c>
      <c r="B16" s="301" t="s">
        <v>929</v>
      </c>
      <c r="C16" s="328">
        <v>6</v>
      </c>
      <c r="D16" s="298" t="s">
        <v>1567</v>
      </c>
    </row>
    <row r="17" spans="1:4">
      <c r="A17" s="300" t="s">
        <v>242</v>
      </c>
      <c r="B17" s="301" t="s">
        <v>935</v>
      </c>
      <c r="C17" s="328">
        <v>7</v>
      </c>
      <c r="D17" s="298" t="s">
        <v>1566</v>
      </c>
    </row>
    <row r="18" spans="1:4">
      <c r="A18" s="300" t="s">
        <v>242</v>
      </c>
      <c r="B18" s="301" t="s">
        <v>939</v>
      </c>
      <c r="C18" s="328">
        <v>8</v>
      </c>
      <c r="D18" s="298" t="s">
        <v>1565</v>
      </c>
    </row>
    <row r="19" spans="1:4">
      <c r="A19" s="300" t="s">
        <v>242</v>
      </c>
      <c r="B19" s="301" t="s">
        <v>940</v>
      </c>
      <c r="C19" s="328">
        <v>9</v>
      </c>
      <c r="D19" s="298" t="s">
        <v>1564</v>
      </c>
    </row>
    <row r="20" spans="1:4">
      <c r="A20" s="300" t="s">
        <v>242</v>
      </c>
      <c r="B20" s="301" t="s">
        <v>938</v>
      </c>
      <c r="C20" s="328">
        <v>10</v>
      </c>
      <c r="D20" s="298" t="s">
        <v>1563</v>
      </c>
    </row>
    <row r="21" spans="1:4">
      <c r="A21" s="300" t="s">
        <v>242</v>
      </c>
      <c r="B21" s="301" t="s">
        <v>1319</v>
      </c>
      <c r="C21" s="328">
        <v>11</v>
      </c>
      <c r="D21" s="298" t="s">
        <v>1562</v>
      </c>
    </row>
    <row r="22" spans="1:4">
      <c r="A22" s="300" t="s">
        <v>242</v>
      </c>
      <c r="B22" s="301" t="s">
        <v>932</v>
      </c>
      <c r="C22" s="328">
        <v>12</v>
      </c>
      <c r="D22" s="298" t="s">
        <v>1561</v>
      </c>
    </row>
    <row r="23" spans="1:4">
      <c r="A23" s="300" t="s">
        <v>242</v>
      </c>
      <c r="B23" s="301" t="s">
        <v>930</v>
      </c>
      <c r="C23" s="328">
        <v>13</v>
      </c>
      <c r="D23" s="298" t="s">
        <v>1560</v>
      </c>
    </row>
    <row r="24" spans="1:4">
      <c r="A24" s="300" t="s">
        <v>242</v>
      </c>
      <c r="B24" s="301" t="s">
        <v>1314</v>
      </c>
      <c r="C24" s="328">
        <v>14</v>
      </c>
      <c r="D24" s="298" t="s">
        <v>1559</v>
      </c>
    </row>
    <row r="25" spans="1:4">
      <c r="A25" s="300" t="s">
        <v>242</v>
      </c>
      <c r="B25" s="301" t="s">
        <v>931</v>
      </c>
      <c r="C25" s="328">
        <v>15</v>
      </c>
      <c r="D25" s="298" t="s">
        <v>1558</v>
      </c>
    </row>
    <row r="26" spans="1:4">
      <c r="A26" s="300" t="s">
        <v>242</v>
      </c>
      <c r="B26" s="301" t="s">
        <v>942</v>
      </c>
      <c r="C26" s="328">
        <v>16</v>
      </c>
      <c r="D26" s="298" t="s">
        <v>1557</v>
      </c>
    </row>
    <row r="27" spans="1:4">
      <c r="A27" s="300" t="s">
        <v>242</v>
      </c>
      <c r="B27" s="301" t="s">
        <v>1308</v>
      </c>
      <c r="C27" s="328">
        <v>17</v>
      </c>
      <c r="D27" s="298" t="s">
        <v>1556</v>
      </c>
    </row>
    <row r="28" spans="1:4">
      <c r="A28" s="300" t="s">
        <v>242</v>
      </c>
      <c r="B28" s="301" t="s">
        <v>937</v>
      </c>
      <c r="C28" s="328" t="s">
        <v>1357</v>
      </c>
      <c r="D28" s="298" t="s">
        <v>1555</v>
      </c>
    </row>
    <row r="29" spans="1:4">
      <c r="A29" s="300" t="s">
        <v>242</v>
      </c>
      <c r="B29" s="301" t="s">
        <v>943</v>
      </c>
      <c r="C29" s="328" t="s">
        <v>477</v>
      </c>
      <c r="D29" s="298" t="s">
        <v>1554</v>
      </c>
    </row>
    <row r="30" spans="1:4">
      <c r="A30" s="300" t="s">
        <v>242</v>
      </c>
      <c r="B30" s="301" t="s">
        <v>941</v>
      </c>
      <c r="C30" s="328" t="s">
        <v>211</v>
      </c>
      <c r="D30" s="298" t="s">
        <v>1553</v>
      </c>
    </row>
    <row r="31" spans="1:4">
      <c r="A31" s="300" t="s">
        <v>242</v>
      </c>
      <c r="B31" s="301" t="s">
        <v>1303</v>
      </c>
      <c r="C31" s="328" t="s">
        <v>1552</v>
      </c>
      <c r="D31" s="298" t="s">
        <v>1551</v>
      </c>
    </row>
    <row r="32" spans="1:4">
      <c r="A32" s="300" t="s">
        <v>242</v>
      </c>
      <c r="B32" s="301" t="s">
        <v>1550</v>
      </c>
      <c r="C32" s="328" t="s">
        <v>1549</v>
      </c>
      <c r="D32" s="298" t="s">
        <v>1499</v>
      </c>
    </row>
    <row r="33" spans="1:4">
      <c r="A33" s="300" t="s">
        <v>242</v>
      </c>
      <c r="B33" s="301" t="s">
        <v>934</v>
      </c>
      <c r="C33" s="328">
        <v>100</v>
      </c>
      <c r="D33" s="298" t="s">
        <v>1548</v>
      </c>
    </row>
    <row r="34" spans="1:4">
      <c r="A34" s="300" t="s">
        <v>242</v>
      </c>
      <c r="B34" s="301" t="s">
        <v>1298</v>
      </c>
      <c r="C34" s="328">
        <v>101</v>
      </c>
      <c r="D34" s="298" t="s">
        <v>1547</v>
      </c>
    </row>
    <row r="35" spans="1:4">
      <c r="A35" s="300" t="s">
        <v>242</v>
      </c>
      <c r="B35" s="301" t="s">
        <v>1777</v>
      </c>
      <c r="C35" s="328" t="s">
        <v>1354</v>
      </c>
      <c r="D35" s="379" t="s">
        <v>1778</v>
      </c>
    </row>
    <row r="36" spans="1:4">
      <c r="A36" s="300" t="s">
        <v>242</v>
      </c>
      <c r="B36" s="301" t="s">
        <v>1296</v>
      </c>
      <c r="C36" s="328">
        <v>102</v>
      </c>
      <c r="D36" s="298" t="s">
        <v>1546</v>
      </c>
    </row>
    <row r="37" spans="1:4">
      <c r="A37" s="300" t="s">
        <v>242</v>
      </c>
      <c r="B37" s="301" t="s">
        <v>1293</v>
      </c>
      <c r="C37" s="328">
        <v>103</v>
      </c>
      <c r="D37" s="298" t="s">
        <v>1545</v>
      </c>
    </row>
    <row r="38" spans="1:4">
      <c r="A38" s="300" t="s">
        <v>242</v>
      </c>
      <c r="B38" s="301" t="s">
        <v>1292</v>
      </c>
      <c r="C38" s="328" t="s">
        <v>1779</v>
      </c>
      <c r="D38" s="298" t="s">
        <v>1493</v>
      </c>
    </row>
    <row r="39" spans="1:4">
      <c r="A39" s="300" t="s">
        <v>242</v>
      </c>
      <c r="B39" s="301" t="s">
        <v>1291</v>
      </c>
      <c r="C39" s="328">
        <v>104</v>
      </c>
      <c r="D39" s="298" t="s">
        <v>1492</v>
      </c>
    </row>
    <row r="40" spans="1:4">
      <c r="A40" s="300" t="s">
        <v>242</v>
      </c>
      <c r="B40" s="301" t="s">
        <v>1290</v>
      </c>
      <c r="C40" s="328">
        <v>105</v>
      </c>
      <c r="D40" s="298" t="s">
        <v>1544</v>
      </c>
    </row>
    <row r="41" spans="1:4">
      <c r="A41" s="300" t="s">
        <v>242</v>
      </c>
      <c r="B41" s="301" t="s">
        <v>1288</v>
      </c>
      <c r="C41" s="328" t="s">
        <v>1780</v>
      </c>
      <c r="D41" s="298" t="s">
        <v>1543</v>
      </c>
    </row>
    <row r="42" spans="1:4">
      <c r="A42" s="300" t="s">
        <v>242</v>
      </c>
      <c r="B42" s="301" t="s">
        <v>1286</v>
      </c>
      <c r="C42" s="328">
        <v>106</v>
      </c>
      <c r="D42" s="298" t="s">
        <v>1542</v>
      </c>
    </row>
    <row r="43" spans="1:4">
      <c r="A43" s="300" t="s">
        <v>242</v>
      </c>
      <c r="B43" s="301" t="s">
        <v>1283</v>
      </c>
      <c r="C43" s="328">
        <v>107</v>
      </c>
      <c r="D43" s="298" t="s">
        <v>1541</v>
      </c>
    </row>
    <row r="44" spans="1:4">
      <c r="A44" s="300" t="s">
        <v>242</v>
      </c>
      <c r="B44" s="301" t="s">
        <v>1281</v>
      </c>
      <c r="C44" s="328" t="s">
        <v>1781</v>
      </c>
      <c r="D44" s="298" t="s">
        <v>1540</v>
      </c>
    </row>
    <row r="45" spans="1:4">
      <c r="A45" s="300" t="s">
        <v>242</v>
      </c>
      <c r="B45" s="301" t="s">
        <v>1279</v>
      </c>
      <c r="C45" s="328">
        <v>108</v>
      </c>
      <c r="D45" s="298" t="s">
        <v>1539</v>
      </c>
    </row>
    <row r="46" spans="1:4">
      <c r="A46" s="300" t="s">
        <v>242</v>
      </c>
      <c r="B46" s="301" t="s">
        <v>1277</v>
      </c>
      <c r="C46" s="328">
        <v>109</v>
      </c>
      <c r="D46" s="298" t="s">
        <v>1538</v>
      </c>
    </row>
    <row r="47" spans="1:4">
      <c r="A47" s="300" t="s">
        <v>242</v>
      </c>
      <c r="B47" s="301" t="s">
        <v>1274</v>
      </c>
      <c r="C47" s="328" t="s">
        <v>1782</v>
      </c>
      <c r="D47" s="298" t="s">
        <v>1537</v>
      </c>
    </row>
    <row r="48" spans="1:4">
      <c r="A48" s="300" t="s">
        <v>242</v>
      </c>
      <c r="B48" s="301" t="s">
        <v>1536</v>
      </c>
      <c r="C48" s="328">
        <v>0</v>
      </c>
      <c r="D48" s="298" t="s">
        <v>1535</v>
      </c>
    </row>
    <row r="49" spans="1:4">
      <c r="A49" s="300" t="s">
        <v>242</v>
      </c>
      <c r="B49" s="301" t="s">
        <v>1534</v>
      </c>
      <c r="C49" s="328">
        <v>1</v>
      </c>
      <c r="D49" s="298" t="s">
        <v>1533</v>
      </c>
    </row>
    <row r="50" spans="1:4">
      <c r="A50" s="300" t="s">
        <v>242</v>
      </c>
      <c r="B50" s="301" t="s">
        <v>1532</v>
      </c>
      <c r="C50" s="328">
        <v>2</v>
      </c>
      <c r="D50" s="298" t="s">
        <v>1531</v>
      </c>
    </row>
    <row r="51" spans="1:4">
      <c r="A51" s="300" t="s">
        <v>242</v>
      </c>
      <c r="B51" s="301" t="s">
        <v>1530</v>
      </c>
      <c r="C51" s="328">
        <v>3</v>
      </c>
      <c r="D51" s="298" t="s">
        <v>1529</v>
      </c>
    </row>
    <row r="52" spans="1:4">
      <c r="A52" s="300" t="s">
        <v>242</v>
      </c>
      <c r="B52" s="301" t="s">
        <v>1528</v>
      </c>
      <c r="C52" s="328">
        <v>4</v>
      </c>
      <c r="D52" s="298" t="s">
        <v>1527</v>
      </c>
    </row>
    <row r="53" spans="1:4">
      <c r="A53" s="300" t="s">
        <v>242</v>
      </c>
      <c r="B53" s="301" t="s">
        <v>1526</v>
      </c>
      <c r="C53" s="328">
        <v>5</v>
      </c>
      <c r="D53" s="298" t="s">
        <v>1525</v>
      </c>
    </row>
    <row r="54" spans="1:4">
      <c r="A54" s="300" t="s">
        <v>242</v>
      </c>
      <c r="B54" s="301" t="s">
        <v>1524</v>
      </c>
      <c r="C54" s="328" t="s">
        <v>1523</v>
      </c>
      <c r="D54" s="298" t="s">
        <v>1499</v>
      </c>
    </row>
    <row r="55" spans="1:4">
      <c r="A55" s="300" t="s">
        <v>242</v>
      </c>
      <c r="B55" s="301" t="s">
        <v>1272</v>
      </c>
      <c r="C55" s="328">
        <v>0</v>
      </c>
      <c r="D55" s="298" t="s">
        <v>1522</v>
      </c>
    </row>
    <row r="56" spans="1:4">
      <c r="A56" s="300" t="s">
        <v>242</v>
      </c>
      <c r="B56" s="301" t="s">
        <v>1270</v>
      </c>
      <c r="C56" s="328">
        <v>1</v>
      </c>
      <c r="D56" s="298" t="s">
        <v>1521</v>
      </c>
    </row>
    <row r="57" spans="1:4">
      <c r="A57" s="300" t="s">
        <v>242</v>
      </c>
      <c r="B57" s="301" t="s">
        <v>1268</v>
      </c>
      <c r="C57" s="328">
        <v>2</v>
      </c>
      <c r="D57" s="298" t="s">
        <v>1520</v>
      </c>
    </row>
    <row r="58" spans="1:4">
      <c r="A58" s="300" t="s">
        <v>242</v>
      </c>
      <c r="B58" s="301" t="s">
        <v>1266</v>
      </c>
      <c r="C58" s="328">
        <v>3</v>
      </c>
      <c r="D58" s="298" t="s">
        <v>1519</v>
      </c>
    </row>
    <row r="59" spans="1:4">
      <c r="A59" s="300" t="s">
        <v>242</v>
      </c>
      <c r="B59" s="301" t="s">
        <v>1264</v>
      </c>
      <c r="C59" s="328">
        <v>4</v>
      </c>
      <c r="D59" s="298" t="s">
        <v>1518</v>
      </c>
    </row>
    <row r="60" spans="1:4">
      <c r="A60" s="300" t="s">
        <v>242</v>
      </c>
      <c r="B60" s="301" t="s">
        <v>1262</v>
      </c>
      <c r="C60" s="328">
        <v>5</v>
      </c>
      <c r="D60" s="298" t="s">
        <v>1517</v>
      </c>
    </row>
    <row r="61" spans="1:4">
      <c r="A61" s="300" t="s">
        <v>242</v>
      </c>
      <c r="B61" s="301" t="s">
        <v>1260</v>
      </c>
      <c r="C61" s="328">
        <v>6</v>
      </c>
      <c r="D61" s="298" t="s">
        <v>1516</v>
      </c>
    </row>
    <row r="62" spans="1:4">
      <c r="A62" s="300" t="s">
        <v>242</v>
      </c>
      <c r="B62" s="301" t="s">
        <v>1258</v>
      </c>
      <c r="C62" s="328">
        <v>7</v>
      </c>
      <c r="D62" s="298" t="s">
        <v>1515</v>
      </c>
    </row>
    <row r="63" spans="1:4">
      <c r="A63" s="300" t="s">
        <v>242</v>
      </c>
      <c r="B63" s="301" t="s">
        <v>1256</v>
      </c>
      <c r="C63" s="328">
        <v>8</v>
      </c>
      <c r="D63" s="298" t="s">
        <v>1514</v>
      </c>
    </row>
    <row r="64" spans="1:4">
      <c r="A64" s="300" t="s">
        <v>242</v>
      </c>
      <c r="B64" s="301" t="s">
        <v>1254</v>
      </c>
      <c r="C64" s="328">
        <v>9</v>
      </c>
      <c r="D64" s="298" t="s">
        <v>1513</v>
      </c>
    </row>
    <row r="65" spans="1:4">
      <c r="A65" s="300" t="s">
        <v>242</v>
      </c>
      <c r="B65" s="301" t="s">
        <v>1252</v>
      </c>
      <c r="C65" s="328">
        <v>10</v>
      </c>
      <c r="D65" s="298" t="s">
        <v>1512</v>
      </c>
    </row>
    <row r="66" spans="1:4">
      <c r="A66" s="300" t="s">
        <v>242</v>
      </c>
      <c r="B66" s="301" t="s">
        <v>1250</v>
      </c>
      <c r="C66" s="328">
        <v>11</v>
      </c>
      <c r="D66" s="298" t="s">
        <v>1511</v>
      </c>
    </row>
    <row r="67" spans="1:4">
      <c r="A67" s="300" t="s">
        <v>242</v>
      </c>
      <c r="B67" s="301" t="s">
        <v>1248</v>
      </c>
      <c r="C67" s="328">
        <v>12</v>
      </c>
      <c r="D67" s="298" t="s">
        <v>1510</v>
      </c>
    </row>
    <row r="68" spans="1:4">
      <c r="A68" s="300" t="s">
        <v>242</v>
      </c>
      <c r="B68" s="301" t="s">
        <v>1246</v>
      </c>
      <c r="C68" s="328">
        <v>13</v>
      </c>
      <c r="D68" s="298" t="s">
        <v>1509</v>
      </c>
    </row>
    <row r="69" spans="1:4">
      <c r="A69" s="300" t="s">
        <v>242</v>
      </c>
      <c r="B69" s="301" t="s">
        <v>1244</v>
      </c>
      <c r="C69" s="328">
        <v>14</v>
      </c>
      <c r="D69" s="298" t="s">
        <v>1508</v>
      </c>
    </row>
    <row r="70" spans="1:4">
      <c r="A70" s="300" t="s">
        <v>242</v>
      </c>
      <c r="B70" s="301" t="s">
        <v>1243</v>
      </c>
      <c r="C70" s="328">
        <v>15</v>
      </c>
      <c r="D70" s="298" t="s">
        <v>1507</v>
      </c>
    </row>
    <row r="71" spans="1:4">
      <c r="A71" s="300" t="s">
        <v>242</v>
      </c>
      <c r="B71" s="301" t="s">
        <v>1241</v>
      </c>
      <c r="C71" s="328">
        <v>16</v>
      </c>
      <c r="D71" s="298" t="s">
        <v>1506</v>
      </c>
    </row>
    <row r="72" spans="1:4">
      <c r="A72" s="300" t="s">
        <v>242</v>
      </c>
      <c r="B72" s="301" t="s">
        <v>1239</v>
      </c>
      <c r="C72" s="328" t="s">
        <v>357</v>
      </c>
      <c r="D72" s="298" t="s">
        <v>1505</v>
      </c>
    </row>
    <row r="73" spans="1:4">
      <c r="A73" s="300" t="s">
        <v>242</v>
      </c>
      <c r="B73" s="301" t="s">
        <v>1237</v>
      </c>
      <c r="C73" s="328" t="s">
        <v>1357</v>
      </c>
      <c r="D73" s="298" t="s">
        <v>1504</v>
      </c>
    </row>
    <row r="74" spans="1:4">
      <c r="A74" s="300" t="s">
        <v>242</v>
      </c>
      <c r="B74" s="301" t="s">
        <v>1503</v>
      </c>
      <c r="C74" s="328" t="s">
        <v>477</v>
      </c>
      <c r="D74" s="298" t="s">
        <v>1502</v>
      </c>
    </row>
    <row r="75" spans="1:4">
      <c r="A75" s="300" t="s">
        <v>242</v>
      </c>
      <c r="B75" s="301" t="s">
        <v>1501</v>
      </c>
      <c r="C75" s="328" t="s">
        <v>1500</v>
      </c>
      <c r="D75" s="298" t="s">
        <v>1499</v>
      </c>
    </row>
    <row r="76" spans="1:4">
      <c r="A76" s="300" t="s">
        <v>242</v>
      </c>
      <c r="B76" s="301" t="s">
        <v>1498</v>
      </c>
      <c r="C76" s="328">
        <v>100</v>
      </c>
    </row>
    <row r="77" spans="1:4">
      <c r="A77" s="300" t="s">
        <v>242</v>
      </c>
      <c r="B77" s="301" t="s">
        <v>948</v>
      </c>
      <c r="C77" s="328" t="s">
        <v>251</v>
      </c>
      <c r="D77" s="298" t="s">
        <v>1497</v>
      </c>
    </row>
    <row r="78" spans="1:4">
      <c r="A78" s="300" t="s">
        <v>242</v>
      </c>
      <c r="B78" s="301" t="s">
        <v>947</v>
      </c>
      <c r="C78" s="328" t="s">
        <v>250</v>
      </c>
      <c r="D78" s="298" t="s">
        <v>1496</v>
      </c>
    </row>
    <row r="79" spans="1:4">
      <c r="A79" s="300" t="s">
        <v>242</v>
      </c>
      <c r="B79" s="301" t="s">
        <v>1232</v>
      </c>
      <c r="C79" s="328" t="s">
        <v>184</v>
      </c>
      <c r="D79" s="298" t="s">
        <v>1495</v>
      </c>
    </row>
    <row r="80" spans="1:4">
      <c r="A80" s="300" t="s">
        <v>242</v>
      </c>
      <c r="B80" s="301" t="s">
        <v>949</v>
      </c>
      <c r="C80" s="328" t="s">
        <v>150</v>
      </c>
      <c r="D80" s="298" t="s">
        <v>1494</v>
      </c>
    </row>
    <row r="81" spans="1:4">
      <c r="A81" s="300" t="s">
        <v>242</v>
      </c>
      <c r="B81" s="301" t="s">
        <v>944</v>
      </c>
      <c r="C81" s="328" t="s">
        <v>37</v>
      </c>
      <c r="D81" s="298" t="s">
        <v>1493</v>
      </c>
    </row>
    <row r="82" spans="1:4">
      <c r="A82" s="300" t="s">
        <v>242</v>
      </c>
      <c r="B82" s="301" t="s">
        <v>945</v>
      </c>
      <c r="C82" s="328" t="s">
        <v>65</v>
      </c>
      <c r="D82" s="298" t="s">
        <v>1492</v>
      </c>
    </row>
    <row r="83" spans="1:4">
      <c r="A83" s="300" t="s">
        <v>242</v>
      </c>
      <c r="B83" s="301" t="s">
        <v>1225</v>
      </c>
      <c r="C83" s="328" t="s">
        <v>1351</v>
      </c>
      <c r="D83" s="298" t="s">
        <v>1491</v>
      </c>
    </row>
    <row r="84" spans="1:4">
      <c r="A84" s="300" t="s">
        <v>242</v>
      </c>
      <c r="B84" s="301" t="s">
        <v>950</v>
      </c>
      <c r="C84" s="328" t="s">
        <v>1490</v>
      </c>
      <c r="D84" s="298" t="s">
        <v>1489</v>
      </c>
    </row>
    <row r="85" spans="1:4">
      <c r="A85" s="300" t="s">
        <v>242</v>
      </c>
      <c r="B85" s="301" t="s">
        <v>951</v>
      </c>
      <c r="C85" s="328" t="s">
        <v>82</v>
      </c>
      <c r="D85" s="298" t="s">
        <v>1488</v>
      </c>
    </row>
    <row r="86" spans="1:4">
      <c r="A86" s="300" t="s">
        <v>242</v>
      </c>
      <c r="B86" s="301" t="s">
        <v>952</v>
      </c>
      <c r="C86" s="328" t="s">
        <v>1469</v>
      </c>
      <c r="D86" s="298" t="s">
        <v>1487</v>
      </c>
    </row>
    <row r="87" spans="1:4">
      <c r="A87" s="300" t="s">
        <v>242</v>
      </c>
      <c r="B87" s="301" t="s">
        <v>953</v>
      </c>
      <c r="C87" s="328" t="s">
        <v>189</v>
      </c>
      <c r="D87" s="298" t="s">
        <v>1486</v>
      </c>
    </row>
    <row r="88" spans="1:4">
      <c r="A88" s="300" t="s">
        <v>242</v>
      </c>
      <c r="B88" s="301" t="s">
        <v>955</v>
      </c>
      <c r="C88" s="328" t="s">
        <v>1465</v>
      </c>
      <c r="D88" s="298" t="s">
        <v>1485</v>
      </c>
    </row>
    <row r="89" spans="1:4">
      <c r="A89" s="300" t="s">
        <v>242</v>
      </c>
      <c r="B89" s="301" t="s">
        <v>954</v>
      </c>
      <c r="C89" s="328" t="s">
        <v>1361</v>
      </c>
      <c r="D89" s="298" t="s">
        <v>1484</v>
      </c>
    </row>
    <row r="90" spans="1:4">
      <c r="A90" s="300" t="s">
        <v>242</v>
      </c>
      <c r="B90" s="301" t="s">
        <v>956</v>
      </c>
      <c r="C90" s="328" t="s">
        <v>1360</v>
      </c>
      <c r="D90" s="298" t="s">
        <v>1483</v>
      </c>
    </row>
    <row r="91" spans="1:4">
      <c r="A91" s="300" t="s">
        <v>242</v>
      </c>
      <c r="B91" s="301" t="s">
        <v>957</v>
      </c>
      <c r="C91" s="328" t="s">
        <v>1359</v>
      </c>
      <c r="D91" s="298" t="s">
        <v>1482</v>
      </c>
    </row>
    <row r="92" spans="1:4">
      <c r="A92" s="300" t="s">
        <v>242</v>
      </c>
      <c r="B92" s="301" t="s">
        <v>958</v>
      </c>
      <c r="C92" s="328" t="s">
        <v>193</v>
      </c>
      <c r="D92" s="298" t="s">
        <v>1481</v>
      </c>
    </row>
    <row r="93" spans="1:4">
      <c r="A93" s="300" t="s">
        <v>242</v>
      </c>
      <c r="B93" s="301" t="s">
        <v>959</v>
      </c>
      <c r="C93" s="328" t="s">
        <v>1358</v>
      </c>
      <c r="D93" s="298" t="s">
        <v>1480</v>
      </c>
    </row>
    <row r="94" spans="1:4">
      <c r="A94" s="300" t="s">
        <v>242</v>
      </c>
      <c r="B94" s="301" t="s">
        <v>961</v>
      </c>
      <c r="C94" s="328" t="s">
        <v>357</v>
      </c>
      <c r="D94" s="298" t="s">
        <v>1479</v>
      </c>
    </row>
    <row r="95" spans="1:4">
      <c r="A95" s="300" t="s">
        <v>242</v>
      </c>
      <c r="B95" s="301" t="s">
        <v>960</v>
      </c>
      <c r="C95" s="328" t="s">
        <v>1357</v>
      </c>
      <c r="D95" s="298" t="s">
        <v>1478</v>
      </c>
    </row>
    <row r="96" spans="1:4">
      <c r="A96" s="300" t="s">
        <v>242</v>
      </c>
      <c r="B96" s="301" t="s">
        <v>946</v>
      </c>
      <c r="C96" s="328" t="s">
        <v>1356</v>
      </c>
      <c r="D96" s="298" t="s">
        <v>1477</v>
      </c>
    </row>
    <row r="97" spans="1:4">
      <c r="A97" s="300" t="s">
        <v>242</v>
      </c>
      <c r="B97" s="301" t="s">
        <v>1184</v>
      </c>
      <c r="C97" s="328">
        <v>0</v>
      </c>
      <c r="D97" s="298" t="s">
        <v>1041</v>
      </c>
    </row>
    <row r="98" spans="1:4">
      <c r="A98" s="300" t="s">
        <v>242</v>
      </c>
      <c r="B98" s="301" t="s">
        <v>1182</v>
      </c>
      <c r="C98" s="328">
        <v>1</v>
      </c>
      <c r="D98" s="298" t="s">
        <v>1476</v>
      </c>
    </row>
    <row r="99" spans="1:4">
      <c r="A99" s="300" t="s">
        <v>242</v>
      </c>
      <c r="B99" s="301" t="s">
        <v>1180</v>
      </c>
      <c r="C99" s="328">
        <v>2</v>
      </c>
      <c r="D99" s="298" t="s">
        <v>1475</v>
      </c>
    </row>
    <row r="100" spans="1:4">
      <c r="A100" s="300" t="s">
        <v>242</v>
      </c>
      <c r="B100" s="301" t="s">
        <v>1178</v>
      </c>
      <c r="C100" s="328">
        <v>3</v>
      </c>
      <c r="D100" s="298" t="s">
        <v>1474</v>
      </c>
    </row>
    <row r="101" spans="1:4">
      <c r="A101" s="300" t="s">
        <v>242</v>
      </c>
      <c r="B101" s="301" t="s">
        <v>1176</v>
      </c>
      <c r="C101" s="328">
        <v>4</v>
      </c>
      <c r="D101" s="298" t="s">
        <v>1035</v>
      </c>
    </row>
    <row r="102" spans="1:4">
      <c r="A102" s="300" t="s">
        <v>242</v>
      </c>
      <c r="B102" s="301" t="s">
        <v>1175</v>
      </c>
      <c r="C102" s="328">
        <v>5</v>
      </c>
      <c r="D102" s="298" t="s">
        <v>1473</v>
      </c>
    </row>
    <row r="103" spans="1:4">
      <c r="A103" s="300" t="s">
        <v>242</v>
      </c>
      <c r="B103" s="301" t="s">
        <v>1173</v>
      </c>
      <c r="C103" s="328">
        <v>6</v>
      </c>
      <c r="D103" s="298" t="s">
        <v>1472</v>
      </c>
    </row>
    <row r="104" spans="1:4">
      <c r="A104" s="300" t="s">
        <v>242</v>
      </c>
      <c r="B104" s="301" t="s">
        <v>1172</v>
      </c>
      <c r="C104" s="328">
        <v>7</v>
      </c>
      <c r="D104" s="298" t="s">
        <v>1471</v>
      </c>
    </row>
    <row r="105" spans="1:4">
      <c r="A105" s="300" t="s">
        <v>242</v>
      </c>
      <c r="B105" s="301" t="s">
        <v>1170</v>
      </c>
      <c r="C105" s="328">
        <v>8</v>
      </c>
      <c r="D105" s="298" t="s">
        <v>1470</v>
      </c>
    </row>
    <row r="106" spans="1:4">
      <c r="A106" s="300" t="s">
        <v>242</v>
      </c>
      <c r="B106" s="301" t="s">
        <v>1168</v>
      </c>
      <c r="C106" s="328" t="s">
        <v>1469</v>
      </c>
      <c r="D106" s="298" t="s">
        <v>1468</v>
      </c>
    </row>
    <row r="107" spans="1:4">
      <c r="A107" s="300" t="s">
        <v>242</v>
      </c>
      <c r="B107" s="301" t="s">
        <v>1467</v>
      </c>
      <c r="C107" s="328" t="s">
        <v>189</v>
      </c>
      <c r="D107" s="298" t="s">
        <v>1466</v>
      </c>
    </row>
    <row r="108" spans="1:4">
      <c r="A108" s="300" t="s">
        <v>242</v>
      </c>
      <c r="B108" s="301" t="s">
        <v>1167</v>
      </c>
      <c r="C108" s="328" t="s">
        <v>1465</v>
      </c>
      <c r="D108" s="298" t="s">
        <v>1464</v>
      </c>
    </row>
    <row r="109" spans="1:4">
      <c r="A109" s="300" t="s">
        <v>242</v>
      </c>
      <c r="B109" s="301" t="s">
        <v>1463</v>
      </c>
      <c r="C109" s="328" t="s">
        <v>1361</v>
      </c>
      <c r="D109" s="298" t="s">
        <v>1462</v>
      </c>
    </row>
    <row r="110" spans="1:4">
      <c r="A110" s="300" t="s">
        <v>242</v>
      </c>
      <c r="B110" s="301" t="s">
        <v>1461</v>
      </c>
      <c r="C110" s="328" t="s">
        <v>1360</v>
      </c>
      <c r="D110" s="298" t="s">
        <v>1460</v>
      </c>
    </row>
    <row r="111" spans="1:4">
      <c r="A111" s="300" t="s">
        <v>242</v>
      </c>
      <c r="B111" s="301" t="s">
        <v>1459</v>
      </c>
      <c r="C111" s="328" t="s">
        <v>1458</v>
      </c>
    </row>
    <row r="112" spans="1:4">
      <c r="A112" s="300" t="s">
        <v>242</v>
      </c>
      <c r="B112" s="301" t="s">
        <v>1457</v>
      </c>
      <c r="C112" s="328" t="s">
        <v>1356</v>
      </c>
      <c r="D112" s="329" t="s">
        <v>1456</v>
      </c>
    </row>
    <row r="113" spans="1:4">
      <c r="A113" s="300" t="s">
        <v>248</v>
      </c>
      <c r="B113" s="301" t="s">
        <v>1455</v>
      </c>
      <c r="C113" s="328">
        <v>1</v>
      </c>
      <c r="D113" s="298" t="s">
        <v>1454</v>
      </c>
    </row>
    <row r="114" spans="1:4">
      <c r="A114" s="300" t="s">
        <v>248</v>
      </c>
      <c r="B114" s="301" t="s">
        <v>1453</v>
      </c>
      <c r="C114" s="328">
        <v>2</v>
      </c>
      <c r="D114" s="298" t="s">
        <v>1452</v>
      </c>
    </row>
    <row r="115" spans="1:4">
      <c r="A115" s="300" t="s">
        <v>248</v>
      </c>
      <c r="B115" s="301" t="s">
        <v>1451</v>
      </c>
      <c r="C115" s="328" t="s">
        <v>150</v>
      </c>
      <c r="D115" s="298" t="s">
        <v>1450</v>
      </c>
    </row>
    <row r="116" spans="1:4">
      <c r="A116" s="300" t="s">
        <v>248</v>
      </c>
      <c r="B116" s="301" t="s">
        <v>1449</v>
      </c>
      <c r="C116" s="328" t="s">
        <v>37</v>
      </c>
      <c r="D116" s="298" t="s">
        <v>1448</v>
      </c>
    </row>
    <row r="117" spans="1:4">
      <c r="A117" s="300" t="s">
        <v>248</v>
      </c>
      <c r="B117" s="301" t="s">
        <v>1447</v>
      </c>
      <c r="C117" s="328" t="s">
        <v>65</v>
      </c>
      <c r="D117" s="298" t="s">
        <v>1446</v>
      </c>
    </row>
    <row r="118" spans="1:4">
      <c r="A118" s="300" t="s">
        <v>248</v>
      </c>
      <c r="B118" s="301" t="s">
        <v>1445</v>
      </c>
      <c r="C118" s="328" t="s">
        <v>86</v>
      </c>
      <c r="D118" s="298" t="s">
        <v>1444</v>
      </c>
    </row>
    <row r="119" spans="1:4">
      <c r="A119" s="300" t="s">
        <v>248</v>
      </c>
      <c r="B119" s="301" t="s">
        <v>1443</v>
      </c>
      <c r="C119" s="328" t="s">
        <v>1442</v>
      </c>
      <c r="D119" s="298" t="s">
        <v>1441</v>
      </c>
    </row>
    <row r="120" spans="1:4">
      <c r="A120" s="300" t="s">
        <v>248</v>
      </c>
      <c r="B120" s="301" t="s">
        <v>1440</v>
      </c>
      <c r="C120" s="328" t="s">
        <v>1439</v>
      </c>
      <c r="D120" s="298" t="s">
        <v>1438</v>
      </c>
    </row>
    <row r="121" spans="1:4">
      <c r="A121" s="300" t="s">
        <v>248</v>
      </c>
      <c r="B121" s="301" t="s">
        <v>1437</v>
      </c>
      <c r="C121" s="328" t="s">
        <v>1436</v>
      </c>
      <c r="D121" s="298" t="s">
        <v>1435</v>
      </c>
    </row>
    <row r="122" spans="1:4">
      <c r="A122" s="300" t="s">
        <v>248</v>
      </c>
      <c r="B122" s="301" t="s">
        <v>1434</v>
      </c>
      <c r="C122" s="328" t="s">
        <v>1433</v>
      </c>
      <c r="D122" s="298" t="s">
        <v>1432</v>
      </c>
    </row>
    <row r="123" spans="1:4">
      <c r="A123" s="300" t="s">
        <v>248</v>
      </c>
      <c r="B123" s="301" t="s">
        <v>1431</v>
      </c>
      <c r="C123" s="328" t="s">
        <v>1430</v>
      </c>
      <c r="D123" s="298" t="s">
        <v>1429</v>
      </c>
    </row>
    <row r="124" spans="1:4">
      <c r="A124" s="300" t="s">
        <v>248</v>
      </c>
      <c r="B124" s="301" t="s">
        <v>1428</v>
      </c>
      <c r="C124" s="328" t="s">
        <v>82</v>
      </c>
      <c r="D124" s="298" t="s">
        <v>1427</v>
      </c>
    </row>
    <row r="125" spans="1:4">
      <c r="A125" s="300" t="s">
        <v>248</v>
      </c>
      <c r="B125" s="301" t="s">
        <v>1426</v>
      </c>
      <c r="C125" s="328">
        <v>9</v>
      </c>
      <c r="D125" s="298" t="s">
        <v>1425</v>
      </c>
    </row>
    <row r="126" spans="1:4">
      <c r="A126" s="300" t="s">
        <v>248</v>
      </c>
      <c r="B126" s="301" t="s">
        <v>1424</v>
      </c>
      <c r="C126" s="328">
        <v>10</v>
      </c>
      <c r="D126" s="298" t="s">
        <v>1423</v>
      </c>
    </row>
    <row r="127" spans="1:4">
      <c r="A127" s="300" t="s">
        <v>248</v>
      </c>
      <c r="B127" s="301" t="s">
        <v>1422</v>
      </c>
      <c r="C127" s="328">
        <v>11</v>
      </c>
      <c r="D127" s="298" t="s">
        <v>1421</v>
      </c>
    </row>
    <row r="128" spans="1:4">
      <c r="A128" s="300" t="s">
        <v>248</v>
      </c>
      <c r="B128" s="301" t="s">
        <v>1420</v>
      </c>
      <c r="C128" s="328">
        <v>12</v>
      </c>
      <c r="D128" s="298" t="s">
        <v>1419</v>
      </c>
    </row>
    <row r="129" spans="1:4">
      <c r="A129" s="300" t="s">
        <v>248</v>
      </c>
      <c r="B129" s="301" t="s">
        <v>1418</v>
      </c>
      <c r="C129" s="328">
        <v>13</v>
      </c>
      <c r="D129" s="298" t="s">
        <v>1417</v>
      </c>
    </row>
    <row r="130" spans="1:4">
      <c r="A130" s="300" t="s">
        <v>248</v>
      </c>
      <c r="B130" s="301" t="s">
        <v>1416</v>
      </c>
      <c r="C130" s="328">
        <v>14</v>
      </c>
      <c r="D130" s="298" t="s">
        <v>1415</v>
      </c>
    </row>
    <row r="131" spans="1:4">
      <c r="A131" s="300" t="s">
        <v>248</v>
      </c>
      <c r="B131" s="301" t="s">
        <v>1414</v>
      </c>
      <c r="C131" s="328">
        <v>15</v>
      </c>
      <c r="D131" s="298" t="s">
        <v>1413</v>
      </c>
    </row>
    <row r="132" spans="1:4">
      <c r="A132" s="300" t="s">
        <v>248</v>
      </c>
      <c r="B132" s="301" t="s">
        <v>1412</v>
      </c>
      <c r="C132" s="328">
        <v>16</v>
      </c>
      <c r="D132" s="298" t="s">
        <v>1411</v>
      </c>
    </row>
    <row r="133" spans="1:4">
      <c r="A133" s="300" t="s">
        <v>248</v>
      </c>
      <c r="B133" s="301" t="s">
        <v>1410</v>
      </c>
      <c r="C133" s="328">
        <v>16</v>
      </c>
      <c r="D133" s="298" t="s">
        <v>1409</v>
      </c>
    </row>
    <row r="134" spans="1:4">
      <c r="A134" s="300" t="s">
        <v>248</v>
      </c>
      <c r="B134" s="301" t="s">
        <v>1408</v>
      </c>
      <c r="C134" s="328">
        <v>17</v>
      </c>
      <c r="D134" s="298" t="s">
        <v>1407</v>
      </c>
    </row>
    <row r="135" spans="1:4">
      <c r="A135" s="300" t="s">
        <v>248</v>
      </c>
      <c r="B135" s="301" t="s">
        <v>1406</v>
      </c>
      <c r="C135" s="328">
        <v>18</v>
      </c>
      <c r="D135" s="298" t="s">
        <v>1405</v>
      </c>
    </row>
    <row r="136" spans="1:4">
      <c r="A136" s="300" t="s">
        <v>248</v>
      </c>
      <c r="B136" s="301" t="s">
        <v>1404</v>
      </c>
      <c r="C136" s="328">
        <v>19</v>
      </c>
      <c r="D136" s="298" t="s">
        <v>1403</v>
      </c>
    </row>
    <row r="137" spans="1:4">
      <c r="A137" s="300" t="s">
        <v>248</v>
      </c>
      <c r="B137" s="301" t="s">
        <v>1402</v>
      </c>
      <c r="C137" s="328">
        <v>20</v>
      </c>
      <c r="D137" s="298" t="s">
        <v>1401</v>
      </c>
    </row>
    <row r="138" spans="1:4">
      <c r="A138" s="300" t="s">
        <v>248</v>
      </c>
      <c r="B138" s="301" t="s">
        <v>1400</v>
      </c>
      <c r="C138" s="328">
        <v>21</v>
      </c>
      <c r="D138" s="298" t="s">
        <v>1399</v>
      </c>
    </row>
    <row r="139" spans="1:4">
      <c r="A139" s="300" t="s">
        <v>248</v>
      </c>
      <c r="B139" s="301" t="s">
        <v>1398</v>
      </c>
      <c r="C139" s="328">
        <v>22</v>
      </c>
      <c r="D139" s="298" t="s">
        <v>1397</v>
      </c>
    </row>
    <row r="140" spans="1:4">
      <c r="A140" s="300" t="s">
        <v>248</v>
      </c>
      <c r="B140" s="301" t="s">
        <v>1396</v>
      </c>
      <c r="C140" s="328">
        <v>23</v>
      </c>
      <c r="D140" s="298" t="s">
        <v>1395</v>
      </c>
    </row>
    <row r="141" spans="1:4">
      <c r="A141" s="300" t="s">
        <v>248</v>
      </c>
      <c r="B141" s="301" t="s">
        <v>1394</v>
      </c>
      <c r="C141" s="328">
        <v>24</v>
      </c>
      <c r="D141" s="298" t="s">
        <v>1393</v>
      </c>
    </row>
    <row r="142" spans="1:4">
      <c r="A142" s="300" t="s">
        <v>248</v>
      </c>
      <c r="B142" s="301" t="s">
        <v>1392</v>
      </c>
      <c r="C142" s="328">
        <v>25</v>
      </c>
      <c r="D142" s="298" t="s">
        <v>1391</v>
      </c>
    </row>
    <row r="143" spans="1:4">
      <c r="A143" s="300" t="s">
        <v>248</v>
      </c>
      <c r="B143" s="301" t="s">
        <v>1390</v>
      </c>
      <c r="C143" s="328">
        <v>26</v>
      </c>
      <c r="D143" s="298" t="s">
        <v>1389</v>
      </c>
    </row>
    <row r="144" spans="1:4">
      <c r="A144" s="300" t="s">
        <v>248</v>
      </c>
      <c r="B144" s="301" t="s">
        <v>1388</v>
      </c>
      <c r="C144" s="328">
        <v>27</v>
      </c>
      <c r="D144" s="298" t="s">
        <v>1387</v>
      </c>
    </row>
    <row r="145" spans="1:4">
      <c r="A145" s="300" t="s">
        <v>248</v>
      </c>
      <c r="B145" s="301" t="s">
        <v>1386</v>
      </c>
      <c r="C145" s="328">
        <v>28</v>
      </c>
      <c r="D145" s="298" t="s">
        <v>1385</v>
      </c>
    </row>
    <row r="146" spans="1:4">
      <c r="A146" s="300" t="s">
        <v>248</v>
      </c>
      <c r="B146" s="301" t="s">
        <v>1384</v>
      </c>
      <c r="C146" s="328">
        <v>29</v>
      </c>
      <c r="D146" s="298" t="s">
        <v>1383</v>
      </c>
    </row>
    <row r="147" spans="1:4">
      <c r="A147" s="300" t="s">
        <v>248</v>
      </c>
      <c r="B147" s="301" t="s">
        <v>1382</v>
      </c>
      <c r="C147" s="328">
        <v>30</v>
      </c>
      <c r="D147" s="298" t="s">
        <v>1381</v>
      </c>
    </row>
    <row r="148" spans="1:4">
      <c r="A148" s="300" t="s">
        <v>248</v>
      </c>
      <c r="B148" s="301" t="s">
        <v>1380</v>
      </c>
      <c r="C148" s="328">
        <v>31</v>
      </c>
      <c r="D148" s="298" t="s">
        <v>1379</v>
      </c>
    </row>
    <row r="149" spans="1:4">
      <c r="A149" s="300" t="s">
        <v>248</v>
      </c>
      <c r="B149" s="301" t="s">
        <v>1378</v>
      </c>
      <c r="C149" s="328">
        <v>32</v>
      </c>
    </row>
    <row r="150" spans="1:4">
      <c r="A150" s="300" t="s">
        <v>248</v>
      </c>
      <c r="B150" s="301" t="s">
        <v>1726</v>
      </c>
      <c r="C150" s="328" t="s">
        <v>1727</v>
      </c>
      <c r="D150" s="379" t="s">
        <v>1728</v>
      </c>
    </row>
    <row r="151" spans="1:4">
      <c r="A151" s="299" t="s">
        <v>242</v>
      </c>
      <c r="B151" s="301" t="s">
        <v>1165</v>
      </c>
      <c r="C151" s="327" t="s">
        <v>251</v>
      </c>
      <c r="D151" s="298" t="s">
        <v>1377</v>
      </c>
    </row>
    <row r="152" spans="1:4">
      <c r="A152" s="299" t="s">
        <v>242</v>
      </c>
      <c r="B152" s="301" t="s">
        <v>1163</v>
      </c>
      <c r="C152" s="327" t="s">
        <v>250</v>
      </c>
      <c r="D152" s="298" t="s">
        <v>1376</v>
      </c>
    </row>
    <row r="153" spans="1:4">
      <c r="A153" s="299" t="s">
        <v>242</v>
      </c>
      <c r="B153" s="301" t="s">
        <v>1161</v>
      </c>
      <c r="C153" s="327" t="s">
        <v>184</v>
      </c>
      <c r="D153" s="298" t="s">
        <v>1375</v>
      </c>
    </row>
    <row r="154" spans="1:4">
      <c r="A154" s="299" t="s">
        <v>242</v>
      </c>
      <c r="B154" s="301" t="s">
        <v>1159</v>
      </c>
      <c r="C154" s="327" t="s">
        <v>150</v>
      </c>
      <c r="D154" s="298" t="s">
        <v>1374</v>
      </c>
    </row>
    <row r="155" spans="1:4">
      <c r="A155" s="299" t="s">
        <v>242</v>
      </c>
      <c r="B155" s="301" t="s">
        <v>1157</v>
      </c>
      <c r="C155" s="327" t="s">
        <v>37</v>
      </c>
      <c r="D155" s="298" t="s">
        <v>1373</v>
      </c>
    </row>
    <row r="156" spans="1:4">
      <c r="A156" s="299" t="s">
        <v>242</v>
      </c>
      <c r="B156" s="301" t="s">
        <v>1155</v>
      </c>
      <c r="C156" s="327" t="s">
        <v>65</v>
      </c>
      <c r="D156" s="298" t="s">
        <v>1372</v>
      </c>
    </row>
    <row r="157" spans="1:4">
      <c r="A157" s="299" t="s">
        <v>242</v>
      </c>
      <c r="B157" s="301" t="s">
        <v>1151</v>
      </c>
      <c r="C157" s="327" t="s">
        <v>251</v>
      </c>
    </row>
    <row r="158" spans="1:4">
      <c r="A158" s="299" t="s">
        <v>242</v>
      </c>
      <c r="B158" s="301" t="s">
        <v>1149</v>
      </c>
      <c r="C158" s="327" t="s">
        <v>250</v>
      </c>
    </row>
    <row r="159" spans="1:4">
      <c r="A159" s="299" t="s">
        <v>242</v>
      </c>
      <c r="B159" s="301" t="s">
        <v>1147</v>
      </c>
      <c r="C159" s="327" t="s">
        <v>1371</v>
      </c>
    </row>
    <row r="160" spans="1:4">
      <c r="A160" s="299" t="s">
        <v>242</v>
      </c>
      <c r="B160" s="301" t="s">
        <v>1145</v>
      </c>
      <c r="C160" s="327" t="s">
        <v>1370</v>
      </c>
    </row>
    <row r="161" spans="1:3">
      <c r="A161" s="299" t="s">
        <v>242</v>
      </c>
      <c r="B161" s="301" t="s">
        <v>1143</v>
      </c>
      <c r="C161" s="327" t="s">
        <v>1369</v>
      </c>
    </row>
    <row r="162" spans="1:3">
      <c r="A162" s="299" t="s">
        <v>242</v>
      </c>
      <c r="B162" s="301" t="s">
        <v>1141</v>
      </c>
      <c r="C162" s="327" t="s">
        <v>1368</v>
      </c>
    </row>
    <row r="163" spans="1:3">
      <c r="A163" s="299" t="s">
        <v>242</v>
      </c>
      <c r="B163" s="301" t="s">
        <v>1139</v>
      </c>
      <c r="C163" s="327" t="s">
        <v>1367</v>
      </c>
    </row>
    <row r="164" spans="1:3">
      <c r="A164" s="299" t="s">
        <v>242</v>
      </c>
      <c r="B164" s="301" t="s">
        <v>1137</v>
      </c>
      <c r="C164" s="327" t="s">
        <v>1366</v>
      </c>
    </row>
    <row r="165" spans="1:3">
      <c r="A165" s="299" t="s">
        <v>242</v>
      </c>
      <c r="B165" s="301" t="s">
        <v>1135</v>
      </c>
      <c r="C165" s="327" t="s">
        <v>1365</v>
      </c>
    </row>
    <row r="166" spans="1:3">
      <c r="A166" s="299" t="s">
        <v>242</v>
      </c>
      <c r="B166" s="301" t="s">
        <v>1133</v>
      </c>
      <c r="C166" s="327" t="s">
        <v>1364</v>
      </c>
    </row>
    <row r="167" spans="1:3">
      <c r="A167" s="299" t="s">
        <v>242</v>
      </c>
      <c r="B167" s="301" t="s">
        <v>1131</v>
      </c>
      <c r="C167" s="327" t="s">
        <v>1363</v>
      </c>
    </row>
    <row r="168" spans="1:3">
      <c r="A168" s="299" t="s">
        <v>242</v>
      </c>
      <c r="B168" s="301" t="s">
        <v>1129</v>
      </c>
      <c r="C168" s="327" t="s">
        <v>1362</v>
      </c>
    </row>
    <row r="169" spans="1:3">
      <c r="A169" s="299" t="s">
        <v>242</v>
      </c>
      <c r="B169" s="299" t="s">
        <v>1127</v>
      </c>
      <c r="C169" s="327" t="s">
        <v>1361</v>
      </c>
    </row>
    <row r="170" spans="1:3">
      <c r="A170" s="299" t="s">
        <v>242</v>
      </c>
      <c r="B170" s="302" t="s">
        <v>1125</v>
      </c>
      <c r="C170" s="327" t="s">
        <v>1360</v>
      </c>
    </row>
    <row r="171" spans="1:3">
      <c r="A171" s="299" t="s">
        <v>242</v>
      </c>
      <c r="B171" s="299" t="s">
        <v>1123</v>
      </c>
      <c r="C171" s="327" t="s">
        <v>1359</v>
      </c>
    </row>
    <row r="172" spans="1:3">
      <c r="A172" s="299" t="s">
        <v>242</v>
      </c>
      <c r="B172" s="299" t="s">
        <v>1121</v>
      </c>
      <c r="C172" s="327" t="s">
        <v>193</v>
      </c>
    </row>
    <row r="173" spans="1:3">
      <c r="A173" s="299" t="s">
        <v>242</v>
      </c>
      <c r="B173" s="299" t="s">
        <v>1119</v>
      </c>
      <c r="C173" s="327" t="s">
        <v>1358</v>
      </c>
    </row>
    <row r="174" spans="1:3">
      <c r="A174" s="299" t="s">
        <v>242</v>
      </c>
      <c r="B174" s="299" t="s">
        <v>1117</v>
      </c>
      <c r="C174" s="327" t="s">
        <v>357</v>
      </c>
    </row>
    <row r="175" spans="1:3">
      <c r="A175" s="299" t="s">
        <v>242</v>
      </c>
      <c r="B175" s="299" t="s">
        <v>1115</v>
      </c>
      <c r="C175" s="327" t="s">
        <v>1357</v>
      </c>
    </row>
    <row r="176" spans="1:3">
      <c r="A176" s="299" t="s">
        <v>242</v>
      </c>
      <c r="B176" s="299" t="s">
        <v>1113</v>
      </c>
      <c r="C176" s="327" t="s">
        <v>477</v>
      </c>
    </row>
    <row r="177" spans="1:3">
      <c r="A177" s="299" t="s">
        <v>242</v>
      </c>
      <c r="B177" s="299" t="s">
        <v>1111</v>
      </c>
      <c r="C177" s="327" t="s">
        <v>211</v>
      </c>
    </row>
    <row r="178" spans="1:3">
      <c r="A178" s="299" t="s">
        <v>242</v>
      </c>
      <c r="B178" s="299" t="s">
        <v>1109</v>
      </c>
      <c r="C178" s="327" t="s">
        <v>1356</v>
      </c>
    </row>
    <row r="179" spans="1:3">
      <c r="A179" s="299" t="s">
        <v>242</v>
      </c>
      <c r="B179" s="299" t="s">
        <v>1107</v>
      </c>
      <c r="C179" s="327" t="s">
        <v>1355</v>
      </c>
    </row>
    <row r="180" spans="1:3">
      <c r="A180" s="299" t="s">
        <v>242</v>
      </c>
      <c r="B180" s="299" t="s">
        <v>1105</v>
      </c>
      <c r="C180" s="327" t="s">
        <v>1354</v>
      </c>
    </row>
    <row r="181" spans="1:3">
      <c r="A181" s="299" t="s">
        <v>242</v>
      </c>
      <c r="B181" s="299" t="s">
        <v>1104</v>
      </c>
      <c r="C181" s="327" t="s">
        <v>1353</v>
      </c>
    </row>
    <row r="182" spans="1:3">
      <c r="A182" s="299" t="s">
        <v>242</v>
      </c>
      <c r="B182" s="299" t="s">
        <v>1788</v>
      </c>
      <c r="C182" s="327" t="s">
        <v>251</v>
      </c>
    </row>
    <row r="183" spans="1:3">
      <c r="A183" s="299" t="s">
        <v>242</v>
      </c>
      <c r="B183" s="299" t="s">
        <v>1789</v>
      </c>
      <c r="C183" s="327" t="s">
        <v>250</v>
      </c>
    </row>
    <row r="184" spans="1:3">
      <c r="A184" s="299" t="s">
        <v>242</v>
      </c>
      <c r="B184" s="299" t="s">
        <v>1790</v>
      </c>
      <c r="C184" s="327" t="s">
        <v>184</v>
      </c>
    </row>
    <row r="185" spans="1:3">
      <c r="A185" s="299" t="s">
        <v>242</v>
      </c>
      <c r="B185" s="299" t="s">
        <v>1791</v>
      </c>
      <c r="C185" s="327" t="s">
        <v>150</v>
      </c>
    </row>
    <row r="186" spans="1:3">
      <c r="A186" s="299" t="s">
        <v>242</v>
      </c>
      <c r="B186" s="299" t="s">
        <v>1792</v>
      </c>
      <c r="C186" s="327" t="s">
        <v>37</v>
      </c>
    </row>
    <row r="187" spans="1:3">
      <c r="A187" s="299" t="s">
        <v>242</v>
      </c>
      <c r="B187" s="299" t="s">
        <v>1208</v>
      </c>
      <c r="C187" s="327" t="s">
        <v>251</v>
      </c>
    </row>
    <row r="188" spans="1:3">
      <c r="A188" s="299" t="s">
        <v>242</v>
      </c>
      <c r="B188" s="299" t="s">
        <v>1206</v>
      </c>
      <c r="C188" s="327" t="s">
        <v>250</v>
      </c>
    </row>
    <row r="189" spans="1:3">
      <c r="A189" s="299" t="s">
        <v>242</v>
      </c>
      <c r="B189" s="299" t="s">
        <v>1203</v>
      </c>
      <c r="C189" s="327" t="s">
        <v>184</v>
      </c>
    </row>
    <row r="190" spans="1:3">
      <c r="A190" s="299" t="s">
        <v>242</v>
      </c>
      <c r="B190" s="299" t="s">
        <v>1200</v>
      </c>
      <c r="C190" s="327" t="s">
        <v>150</v>
      </c>
    </row>
    <row r="191" spans="1:3">
      <c r="A191" s="299" t="s">
        <v>242</v>
      </c>
      <c r="B191" s="299" t="s">
        <v>1197</v>
      </c>
      <c r="C191" s="327" t="s">
        <v>37</v>
      </c>
    </row>
    <row r="192" spans="1:3">
      <c r="A192" s="299" t="s">
        <v>242</v>
      </c>
      <c r="B192" s="299" t="s">
        <v>1194</v>
      </c>
      <c r="C192" s="327" t="s">
        <v>65</v>
      </c>
    </row>
    <row r="193" spans="1:3">
      <c r="A193" s="299" t="s">
        <v>242</v>
      </c>
      <c r="B193" s="299" t="s">
        <v>1352</v>
      </c>
      <c r="C193" s="327" t="s">
        <v>1351</v>
      </c>
    </row>
    <row r="194" spans="1:3">
      <c r="A194" s="299" t="s">
        <v>242</v>
      </c>
      <c r="B194" s="299" t="s">
        <v>1350</v>
      </c>
      <c r="C194" s="327" t="s">
        <v>251</v>
      </c>
    </row>
    <row r="195" spans="1:3">
      <c r="A195" s="299" t="s">
        <v>242</v>
      </c>
      <c r="B195" s="299" t="s">
        <v>1348</v>
      </c>
      <c r="C195" s="327" t="s">
        <v>250</v>
      </c>
    </row>
    <row r="196" spans="1:3">
      <c r="A196" s="299" t="s">
        <v>242</v>
      </c>
      <c r="B196" s="299" t="s">
        <v>1729</v>
      </c>
      <c r="C196" s="327" t="s">
        <v>184</v>
      </c>
    </row>
    <row r="197" spans="1:3">
      <c r="A197" s="299" t="s">
        <v>242</v>
      </c>
      <c r="B197" s="299" t="s">
        <v>1349</v>
      </c>
      <c r="C197" s="327" t="s">
        <v>150</v>
      </c>
    </row>
    <row r="198" spans="1:3">
      <c r="A198" s="299" t="s">
        <v>242</v>
      </c>
      <c r="B198" s="299" t="s">
        <v>1730</v>
      </c>
      <c r="C198" s="327" t="s">
        <v>37</v>
      </c>
    </row>
    <row r="199" spans="1:3">
      <c r="A199" s="299" t="s">
        <v>242</v>
      </c>
      <c r="B199" s="299" t="s">
        <v>1347</v>
      </c>
      <c r="C199" s="327" t="s">
        <v>1731</v>
      </c>
    </row>
    <row r="200" spans="1:3">
      <c r="A200" s="299" t="s">
        <v>1343</v>
      </c>
      <c r="B200" s="299" t="s">
        <v>1346</v>
      </c>
      <c r="C200" s="326">
        <v>0</v>
      </c>
    </row>
    <row r="201" spans="1:3">
      <c r="A201" s="299" t="s">
        <v>1343</v>
      </c>
      <c r="B201" s="299" t="s">
        <v>1345</v>
      </c>
      <c r="C201" s="326">
        <v>1</v>
      </c>
    </row>
    <row r="202" spans="1:3">
      <c r="A202" s="299" t="s">
        <v>1343</v>
      </c>
      <c r="B202" s="299" t="s">
        <v>1093</v>
      </c>
      <c r="C202" s="326">
        <v>2</v>
      </c>
    </row>
    <row r="203" spans="1:3">
      <c r="A203" s="299" t="s">
        <v>1343</v>
      </c>
      <c r="B203" s="299" t="s">
        <v>1090</v>
      </c>
      <c r="C203" s="326">
        <v>3</v>
      </c>
    </row>
    <row r="204" spans="1:3">
      <c r="A204" s="299" t="s">
        <v>1343</v>
      </c>
      <c r="B204" s="299" t="s">
        <v>1087</v>
      </c>
      <c r="C204" s="326">
        <v>4</v>
      </c>
    </row>
    <row r="205" spans="1:3">
      <c r="A205" s="299" t="s">
        <v>1343</v>
      </c>
      <c r="B205" s="299" t="s">
        <v>1084</v>
      </c>
      <c r="C205" s="326">
        <v>5</v>
      </c>
    </row>
    <row r="206" spans="1:3">
      <c r="A206" s="299" t="s">
        <v>1343</v>
      </c>
      <c r="B206" s="299" t="s">
        <v>1081</v>
      </c>
      <c r="C206" s="326">
        <v>6</v>
      </c>
    </row>
    <row r="207" spans="1:3">
      <c r="A207" s="299" t="s">
        <v>1343</v>
      </c>
      <c r="B207" s="299" t="s">
        <v>1078</v>
      </c>
      <c r="C207" s="326">
        <v>7</v>
      </c>
    </row>
    <row r="208" spans="1:3">
      <c r="A208" s="299" t="s">
        <v>1343</v>
      </c>
      <c r="B208" s="299" t="s">
        <v>1075</v>
      </c>
      <c r="C208" s="326">
        <v>8</v>
      </c>
    </row>
    <row r="209" spans="1:3">
      <c r="A209" s="299" t="s">
        <v>1343</v>
      </c>
      <c r="B209" s="299" t="s">
        <v>1072</v>
      </c>
      <c r="C209" s="326">
        <v>9</v>
      </c>
    </row>
    <row r="210" spans="1:3">
      <c r="A210" s="299" t="s">
        <v>1343</v>
      </c>
      <c r="B210" s="299" t="s">
        <v>1344</v>
      </c>
      <c r="C210" s="326">
        <v>10</v>
      </c>
    </row>
    <row r="211" spans="1:3">
      <c r="A211" s="299" t="s">
        <v>1343</v>
      </c>
      <c r="B211" s="299" t="s">
        <v>1342</v>
      </c>
      <c r="C211" s="326">
        <v>11</v>
      </c>
    </row>
    <row r="212" spans="1:3">
      <c r="A212" s="299" t="s">
        <v>242</v>
      </c>
      <c r="B212" s="299" t="s">
        <v>1341</v>
      </c>
      <c r="C212" s="326">
        <v>12</v>
      </c>
    </row>
    <row r="213" spans="1:3">
      <c r="A213" s="298" t="s">
        <v>242</v>
      </c>
      <c r="B213" s="298" t="s">
        <v>1591</v>
      </c>
      <c r="C213" s="326">
        <v>0</v>
      </c>
    </row>
    <row r="214" spans="1:3">
      <c r="A214" s="298" t="s">
        <v>242</v>
      </c>
      <c r="B214" s="298" t="s">
        <v>1593</v>
      </c>
      <c r="C214" s="326">
        <v>1</v>
      </c>
    </row>
    <row r="215" spans="1:3" s="301" customFormat="1">
      <c r="A215" s="301" t="s">
        <v>242</v>
      </c>
      <c r="B215" s="301" t="s">
        <v>1722</v>
      </c>
      <c r="C215" s="301">
        <v>2</v>
      </c>
    </row>
    <row r="216" spans="1:3" s="301" customFormat="1">
      <c r="A216" s="301" t="s">
        <v>242</v>
      </c>
      <c r="B216" s="301" t="s">
        <v>1723</v>
      </c>
      <c r="C216" s="301">
        <v>3</v>
      </c>
    </row>
    <row r="217" spans="1:3" s="301" customFormat="1">
      <c r="A217" s="301" t="s">
        <v>242</v>
      </c>
      <c r="B217" s="301" t="s">
        <v>1724</v>
      </c>
      <c r="C217" s="301">
        <v>4</v>
      </c>
    </row>
    <row r="218" spans="1:3" s="301" customFormat="1">
      <c r="A218" s="301" t="s">
        <v>242</v>
      </c>
      <c r="B218" s="301" t="s">
        <v>1725</v>
      </c>
      <c r="C218" s="301">
        <v>5</v>
      </c>
    </row>
    <row r="219" spans="1:3">
      <c r="A219" s="298" t="s">
        <v>242</v>
      </c>
      <c r="B219" s="298" t="s">
        <v>1592</v>
      </c>
      <c r="C219" s="326">
        <v>6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CD358-8FB0-4079-B715-F961CEE8837C}">
  <dimension ref="A1:K142"/>
  <sheetViews>
    <sheetView zoomScaleNormal="100" workbookViewId="0">
      <selection activeCell="E28" sqref="E28"/>
    </sheetView>
  </sheetViews>
  <sheetFormatPr defaultColWidth="16" defaultRowHeight="16.5"/>
  <cols>
    <col min="1" max="1" width="36.375" style="302" customWidth="1"/>
    <col min="2" max="2" width="59.625" style="304" customWidth="1"/>
    <col min="3" max="4" width="16" style="298"/>
    <col min="5" max="5" width="16" style="303"/>
    <col min="6" max="7" width="16" style="302"/>
    <col min="8" max="8" width="16" style="303"/>
    <col min="9" max="10" width="16" style="302"/>
    <col min="11" max="11" width="62.875" style="303" customWidth="1"/>
    <col min="12" max="16384" width="16" style="302"/>
  </cols>
  <sheetData>
    <row r="1" spans="1:11">
      <c r="A1" s="302" t="s">
        <v>1340</v>
      </c>
      <c r="B1" s="304" t="s">
        <v>1339</v>
      </c>
      <c r="C1" s="298" t="s">
        <v>1338</v>
      </c>
      <c r="D1" s="298" t="s">
        <v>1058</v>
      </c>
      <c r="E1" s="303" t="s">
        <v>1337</v>
      </c>
      <c r="F1" s="302" t="s">
        <v>1338</v>
      </c>
      <c r="G1" s="298" t="s">
        <v>1058</v>
      </c>
      <c r="H1" s="325" t="s">
        <v>1056</v>
      </c>
      <c r="I1" s="298" t="s">
        <v>1338</v>
      </c>
      <c r="J1" s="298" t="s">
        <v>1058</v>
      </c>
      <c r="K1" s="303" t="s">
        <v>1337</v>
      </c>
    </row>
    <row r="2" spans="1:11" s="322" customFormat="1">
      <c r="A2" s="324" t="s">
        <v>928</v>
      </c>
      <c r="B2" s="320" t="s">
        <v>1273</v>
      </c>
      <c r="C2" s="322" t="s">
        <v>1064</v>
      </c>
      <c r="D2" s="322" t="s">
        <v>1063</v>
      </c>
      <c r="E2" s="323" t="s">
        <v>1336</v>
      </c>
      <c r="F2" s="322" t="s">
        <v>1101</v>
      </c>
      <c r="G2" s="322" t="s">
        <v>1063</v>
      </c>
      <c r="H2" s="323" t="s">
        <v>1201</v>
      </c>
      <c r="I2" s="322" t="s">
        <v>1185</v>
      </c>
      <c r="J2" s="322" t="s">
        <v>1063</v>
      </c>
      <c r="K2" s="323" t="s">
        <v>1753</v>
      </c>
    </row>
    <row r="3" spans="1:11" s="322" customFormat="1">
      <c r="A3" s="324" t="s">
        <v>933</v>
      </c>
      <c r="B3" s="320" t="s">
        <v>1273</v>
      </c>
      <c r="C3" s="322" t="s">
        <v>1064</v>
      </c>
      <c r="D3" s="322" t="s">
        <v>1063</v>
      </c>
      <c r="E3" s="323" t="s">
        <v>1335</v>
      </c>
      <c r="F3" s="322" t="s">
        <v>1101</v>
      </c>
      <c r="G3" s="322" t="s">
        <v>1063</v>
      </c>
      <c r="H3" s="323" t="s">
        <v>1198</v>
      </c>
      <c r="I3" s="322" t="s">
        <v>1185</v>
      </c>
      <c r="J3" s="322" t="s">
        <v>1063</v>
      </c>
      <c r="K3" s="323" t="s">
        <v>1754</v>
      </c>
    </row>
    <row r="4" spans="1:11" s="322" customFormat="1">
      <c r="A4" s="324" t="s">
        <v>927</v>
      </c>
      <c r="B4" s="320" t="s">
        <v>1273</v>
      </c>
      <c r="C4" s="322" t="s">
        <v>1064</v>
      </c>
      <c r="D4" s="322" t="s">
        <v>1063</v>
      </c>
      <c r="E4" s="323" t="s">
        <v>1334</v>
      </c>
      <c r="F4" s="322" t="s">
        <v>1101</v>
      </c>
      <c r="G4" s="322" t="s">
        <v>1063</v>
      </c>
      <c r="H4" s="323" t="s">
        <v>1189</v>
      </c>
      <c r="I4" s="322" t="s">
        <v>1185</v>
      </c>
      <c r="J4" s="322" t="s">
        <v>1063</v>
      </c>
      <c r="K4" s="323" t="s">
        <v>1755</v>
      </c>
    </row>
    <row r="5" spans="1:11" s="322" customFormat="1">
      <c r="A5" s="324" t="s">
        <v>925</v>
      </c>
      <c r="B5" s="320" t="s">
        <v>1273</v>
      </c>
      <c r="C5" s="322" t="s">
        <v>1064</v>
      </c>
      <c r="D5" s="322" t="s">
        <v>1063</v>
      </c>
      <c r="E5" s="323" t="s">
        <v>1333</v>
      </c>
      <c r="F5" s="322" t="s">
        <v>1101</v>
      </c>
      <c r="G5" s="322" t="s">
        <v>1063</v>
      </c>
      <c r="H5" s="323" t="s">
        <v>1332</v>
      </c>
      <c r="I5" s="322" t="s">
        <v>1185</v>
      </c>
      <c r="J5" s="322" t="s">
        <v>1063</v>
      </c>
      <c r="K5" s="323" t="s">
        <v>1756</v>
      </c>
    </row>
    <row r="6" spans="1:11" s="322" customFormat="1">
      <c r="A6" s="324" t="s">
        <v>926</v>
      </c>
      <c r="B6" s="320" t="s">
        <v>1273</v>
      </c>
      <c r="C6" s="322" t="s">
        <v>1064</v>
      </c>
      <c r="D6" s="322" t="s">
        <v>1063</v>
      </c>
      <c r="E6" s="323" t="s">
        <v>1331</v>
      </c>
      <c r="F6" s="322" t="s">
        <v>1101</v>
      </c>
      <c r="G6" s="322" t="s">
        <v>1063</v>
      </c>
      <c r="H6" s="323" t="s">
        <v>1226</v>
      </c>
      <c r="I6" s="322" t="s">
        <v>1185</v>
      </c>
      <c r="J6" s="322" t="s">
        <v>1063</v>
      </c>
      <c r="K6" s="323" t="s">
        <v>1757</v>
      </c>
    </row>
    <row r="7" spans="1:11" s="322" customFormat="1">
      <c r="A7" s="324" t="s">
        <v>936</v>
      </c>
      <c r="B7" s="320" t="s">
        <v>1273</v>
      </c>
      <c r="C7" s="322" t="s">
        <v>1064</v>
      </c>
      <c r="D7" s="322" t="s">
        <v>1063</v>
      </c>
      <c r="E7" s="323" t="s">
        <v>1330</v>
      </c>
      <c r="F7" s="322" t="s">
        <v>1101</v>
      </c>
      <c r="G7" s="322" t="s">
        <v>1063</v>
      </c>
      <c r="H7" s="323" t="s">
        <v>1329</v>
      </c>
      <c r="I7" s="322" t="s">
        <v>1185</v>
      </c>
      <c r="J7" s="322" t="s">
        <v>1063</v>
      </c>
      <c r="K7" s="323" t="s">
        <v>1758</v>
      </c>
    </row>
    <row r="8" spans="1:11" s="322" customFormat="1">
      <c r="A8" s="324" t="s">
        <v>929</v>
      </c>
      <c r="B8" s="320" t="s">
        <v>1273</v>
      </c>
      <c r="C8" s="322" t="s">
        <v>1064</v>
      </c>
      <c r="D8" s="322" t="s">
        <v>1063</v>
      </c>
      <c r="E8" s="323" t="s">
        <v>1328</v>
      </c>
      <c r="F8" s="322" t="s">
        <v>1101</v>
      </c>
      <c r="G8" s="322" t="s">
        <v>1063</v>
      </c>
      <c r="H8" s="323" t="s">
        <v>1230</v>
      </c>
      <c r="I8" s="322" t="s">
        <v>1185</v>
      </c>
      <c r="J8" s="322" t="s">
        <v>1063</v>
      </c>
      <c r="K8" s="323" t="s">
        <v>1759</v>
      </c>
    </row>
    <row r="9" spans="1:11" s="322" customFormat="1">
      <c r="A9" s="324" t="s">
        <v>935</v>
      </c>
      <c r="B9" s="320" t="s">
        <v>1273</v>
      </c>
      <c r="C9" s="322" t="s">
        <v>1064</v>
      </c>
      <c r="D9" s="322" t="s">
        <v>1063</v>
      </c>
      <c r="E9" s="323" t="s">
        <v>1327</v>
      </c>
      <c r="F9" s="322" t="s">
        <v>1101</v>
      </c>
      <c r="G9" s="322" t="s">
        <v>1063</v>
      </c>
      <c r="H9" s="323" t="s">
        <v>1326</v>
      </c>
      <c r="I9" s="322" t="s">
        <v>1185</v>
      </c>
      <c r="J9" s="322" t="s">
        <v>1063</v>
      </c>
      <c r="K9" s="323" t="s">
        <v>1760</v>
      </c>
    </row>
    <row r="10" spans="1:11" s="322" customFormat="1">
      <c r="A10" s="324" t="s">
        <v>939</v>
      </c>
      <c r="B10" s="320" t="s">
        <v>1273</v>
      </c>
      <c r="C10" s="322" t="s">
        <v>1064</v>
      </c>
      <c r="D10" s="322" t="s">
        <v>1063</v>
      </c>
      <c r="E10" s="323" t="s">
        <v>1325</v>
      </c>
      <c r="F10" s="322" t="s">
        <v>1101</v>
      </c>
      <c r="G10" s="322" t="s">
        <v>1063</v>
      </c>
      <c r="H10" s="323" t="s">
        <v>1324</v>
      </c>
      <c r="I10" s="322" t="s">
        <v>1185</v>
      </c>
      <c r="J10" s="322" t="s">
        <v>1063</v>
      </c>
      <c r="K10" s="323" t="s">
        <v>1761</v>
      </c>
    </row>
    <row r="11" spans="1:11" s="322" customFormat="1">
      <c r="A11" s="324" t="s">
        <v>940</v>
      </c>
      <c r="B11" s="320" t="s">
        <v>1273</v>
      </c>
      <c r="C11" s="322" t="s">
        <v>1064</v>
      </c>
      <c r="D11" s="322" t="s">
        <v>1063</v>
      </c>
      <c r="E11" s="323" t="s">
        <v>1323</v>
      </c>
      <c r="F11" s="322" t="s">
        <v>1101</v>
      </c>
      <c r="G11" s="322" t="s">
        <v>1063</v>
      </c>
      <c r="H11" s="323" t="s">
        <v>1322</v>
      </c>
      <c r="I11" s="322" t="s">
        <v>1185</v>
      </c>
      <c r="J11" s="322" t="s">
        <v>1063</v>
      </c>
      <c r="K11" s="323" t="s">
        <v>1762</v>
      </c>
    </row>
    <row r="12" spans="1:11" s="322" customFormat="1">
      <c r="A12" s="324" t="s">
        <v>938</v>
      </c>
      <c r="B12" s="320" t="s">
        <v>1273</v>
      </c>
      <c r="C12" s="322" t="s">
        <v>1064</v>
      </c>
      <c r="D12" s="322" t="s">
        <v>1063</v>
      </c>
      <c r="E12" s="323" t="s">
        <v>1321</v>
      </c>
      <c r="F12" s="322" t="s">
        <v>1101</v>
      </c>
      <c r="G12" s="322" t="s">
        <v>1063</v>
      </c>
      <c r="H12" s="323" t="s">
        <v>1320</v>
      </c>
      <c r="I12" s="322" t="s">
        <v>1185</v>
      </c>
      <c r="J12" s="322" t="s">
        <v>1063</v>
      </c>
      <c r="K12" s="323" t="s">
        <v>1763</v>
      </c>
    </row>
    <row r="13" spans="1:11" s="322" customFormat="1">
      <c r="A13" s="324" t="s">
        <v>1319</v>
      </c>
      <c r="B13" s="320" t="s">
        <v>1273</v>
      </c>
      <c r="C13" s="322" t="s">
        <v>1064</v>
      </c>
      <c r="D13" s="322" t="s">
        <v>1063</v>
      </c>
      <c r="E13" s="323" t="s">
        <v>1318</v>
      </c>
      <c r="F13" s="322" t="s">
        <v>1101</v>
      </c>
      <c r="G13" s="322" t="s">
        <v>1063</v>
      </c>
      <c r="H13" s="323" t="s">
        <v>1316</v>
      </c>
      <c r="I13" s="322" t="s">
        <v>1185</v>
      </c>
      <c r="J13" s="322" t="s">
        <v>1063</v>
      </c>
      <c r="K13" s="323" t="s">
        <v>1776</v>
      </c>
    </row>
    <row r="14" spans="1:11" s="322" customFormat="1">
      <c r="A14" s="324" t="s">
        <v>932</v>
      </c>
      <c r="B14" s="320" t="s">
        <v>1273</v>
      </c>
      <c r="C14" s="322" t="s">
        <v>1064</v>
      </c>
      <c r="D14" s="322" t="s">
        <v>1063</v>
      </c>
      <c r="E14" s="323" t="s">
        <v>1317</v>
      </c>
      <c r="F14" s="322" t="s">
        <v>1101</v>
      </c>
      <c r="G14" s="322" t="s">
        <v>1063</v>
      </c>
      <c r="H14" s="323" t="s">
        <v>1316</v>
      </c>
      <c r="I14" s="322" t="s">
        <v>1185</v>
      </c>
      <c r="J14" s="322" t="s">
        <v>1063</v>
      </c>
      <c r="K14" s="323" t="s">
        <v>1775</v>
      </c>
    </row>
    <row r="15" spans="1:11" s="322" customFormat="1">
      <c r="A15" s="324" t="s">
        <v>930</v>
      </c>
      <c r="B15" s="320" t="s">
        <v>1273</v>
      </c>
      <c r="C15" s="322" t="s">
        <v>1064</v>
      </c>
      <c r="D15" s="322" t="s">
        <v>1063</v>
      </c>
      <c r="E15" s="323" t="s">
        <v>1315</v>
      </c>
      <c r="F15" s="322" t="s">
        <v>1101</v>
      </c>
      <c r="G15" s="322" t="s">
        <v>1063</v>
      </c>
      <c r="H15" s="323" t="s">
        <v>1187</v>
      </c>
      <c r="I15" s="322" t="s">
        <v>1185</v>
      </c>
      <c r="J15" s="322" t="s">
        <v>1063</v>
      </c>
      <c r="K15" s="323" t="s">
        <v>1764</v>
      </c>
    </row>
    <row r="16" spans="1:11" s="322" customFormat="1">
      <c r="A16" s="324" t="s">
        <v>1314</v>
      </c>
      <c r="B16" s="320" t="s">
        <v>1273</v>
      </c>
      <c r="C16" s="322" t="s">
        <v>1064</v>
      </c>
      <c r="D16" s="322" t="s">
        <v>1063</v>
      </c>
      <c r="E16" s="323" t="s">
        <v>1313</v>
      </c>
      <c r="F16" s="322" t="s">
        <v>1101</v>
      </c>
      <c r="G16" s="322" t="s">
        <v>1063</v>
      </c>
      <c r="H16" s="323" t="s">
        <v>1152</v>
      </c>
      <c r="I16" s="322" t="s">
        <v>1185</v>
      </c>
      <c r="J16" s="322" t="s">
        <v>1063</v>
      </c>
      <c r="K16" s="323" t="s">
        <v>1774</v>
      </c>
    </row>
    <row r="17" spans="1:11" s="322" customFormat="1">
      <c r="A17" s="324" t="s">
        <v>931</v>
      </c>
      <c r="B17" s="320" t="s">
        <v>1273</v>
      </c>
      <c r="C17" s="322" t="s">
        <v>1064</v>
      </c>
      <c r="D17" s="322" t="s">
        <v>1063</v>
      </c>
      <c r="E17" s="323" t="s">
        <v>1312</v>
      </c>
      <c r="F17" s="322" t="s">
        <v>1101</v>
      </c>
      <c r="G17" s="322" t="s">
        <v>1063</v>
      </c>
      <c r="H17" s="323" t="s">
        <v>1311</v>
      </c>
      <c r="I17" s="322" t="s">
        <v>1185</v>
      </c>
      <c r="J17" s="322" t="s">
        <v>1063</v>
      </c>
      <c r="K17" s="323" t="s">
        <v>1765</v>
      </c>
    </row>
    <row r="18" spans="1:11" s="322" customFormat="1">
      <c r="A18" s="324" t="s">
        <v>942</v>
      </c>
      <c r="B18" s="320" t="s">
        <v>1273</v>
      </c>
      <c r="C18" s="322" t="s">
        <v>1064</v>
      </c>
      <c r="D18" s="322" t="s">
        <v>1063</v>
      </c>
      <c r="E18" s="323" t="s">
        <v>1310</v>
      </c>
      <c r="F18" s="322" t="s">
        <v>1101</v>
      </c>
      <c r="G18" s="322" t="s">
        <v>1063</v>
      </c>
      <c r="H18" s="323" t="s">
        <v>1309</v>
      </c>
      <c r="I18" s="322" t="s">
        <v>1185</v>
      </c>
      <c r="J18" s="322" t="s">
        <v>1063</v>
      </c>
      <c r="K18" s="323" t="s">
        <v>1766</v>
      </c>
    </row>
    <row r="19" spans="1:11" s="322" customFormat="1">
      <c r="A19" s="324" t="s">
        <v>1308</v>
      </c>
      <c r="B19" s="320" t="s">
        <v>1273</v>
      </c>
      <c r="C19" s="322" t="s">
        <v>1064</v>
      </c>
      <c r="D19" s="322" t="s">
        <v>1063</v>
      </c>
      <c r="E19" s="323" t="s">
        <v>1307</v>
      </c>
      <c r="F19" s="322" t="s">
        <v>1101</v>
      </c>
      <c r="G19" s="322" t="s">
        <v>1063</v>
      </c>
      <c r="H19" s="323" t="s">
        <v>1284</v>
      </c>
      <c r="I19" s="322" t="s">
        <v>1185</v>
      </c>
      <c r="J19" s="322" t="s">
        <v>1063</v>
      </c>
      <c r="K19" s="323" t="s">
        <v>1773</v>
      </c>
    </row>
    <row r="20" spans="1:11" s="322" customFormat="1">
      <c r="A20" s="324" t="s">
        <v>937</v>
      </c>
      <c r="B20" s="320" t="s">
        <v>1273</v>
      </c>
      <c r="C20" s="322" t="s">
        <v>1064</v>
      </c>
      <c r="D20" s="322" t="s">
        <v>1063</v>
      </c>
      <c r="E20" s="323" t="s">
        <v>1306</v>
      </c>
      <c r="F20" s="322" t="s">
        <v>1101</v>
      </c>
      <c r="G20" s="322" t="s">
        <v>1063</v>
      </c>
      <c r="H20" s="323" t="s">
        <v>1305</v>
      </c>
      <c r="I20" s="322" t="s">
        <v>1185</v>
      </c>
      <c r="J20" s="322" t="s">
        <v>1063</v>
      </c>
      <c r="K20" s="323" t="s">
        <v>1767</v>
      </c>
    </row>
    <row r="21" spans="1:11" s="322" customFormat="1">
      <c r="A21" s="324" t="s">
        <v>943</v>
      </c>
      <c r="B21" s="320" t="s">
        <v>1273</v>
      </c>
      <c r="C21" s="322" t="s">
        <v>1064</v>
      </c>
      <c r="D21" s="322" t="s">
        <v>1063</v>
      </c>
      <c r="E21" s="323" t="s">
        <v>1304</v>
      </c>
      <c r="F21" s="322" t="s">
        <v>1101</v>
      </c>
      <c r="G21" s="322" t="s">
        <v>1063</v>
      </c>
      <c r="H21" s="323" t="s">
        <v>1284</v>
      </c>
      <c r="I21" s="322" t="s">
        <v>1185</v>
      </c>
      <c r="J21" s="322" t="s">
        <v>1063</v>
      </c>
      <c r="K21" s="323" t="s">
        <v>1768</v>
      </c>
    </row>
    <row r="22" spans="1:11" s="322" customFormat="1">
      <c r="A22" s="324" t="s">
        <v>1303</v>
      </c>
      <c r="B22" s="320" t="s">
        <v>1273</v>
      </c>
      <c r="C22" s="322" t="s">
        <v>1064</v>
      </c>
      <c r="D22" s="322" t="s">
        <v>1063</v>
      </c>
      <c r="E22" s="323" t="s">
        <v>1302</v>
      </c>
      <c r="F22" s="322" t="s">
        <v>1101</v>
      </c>
      <c r="G22" s="322" t="s">
        <v>1063</v>
      </c>
      <c r="H22" s="323" t="s">
        <v>1301</v>
      </c>
      <c r="I22" s="322" t="s">
        <v>1185</v>
      </c>
      <c r="J22" s="322" t="s">
        <v>1063</v>
      </c>
      <c r="K22" s="323" t="s">
        <v>1769</v>
      </c>
    </row>
    <row r="23" spans="1:11" s="322" customFormat="1">
      <c r="A23" s="324" t="s">
        <v>941</v>
      </c>
      <c r="B23" s="320" t="s">
        <v>1273</v>
      </c>
      <c r="C23" s="322" t="s">
        <v>1064</v>
      </c>
      <c r="D23" s="322" t="s">
        <v>1063</v>
      </c>
      <c r="E23" s="323" t="s">
        <v>1300</v>
      </c>
      <c r="F23" s="322" t="s">
        <v>1101</v>
      </c>
      <c r="G23" s="322" t="s">
        <v>1063</v>
      </c>
      <c r="H23" s="323" t="s">
        <v>1190</v>
      </c>
      <c r="I23" s="322" t="s">
        <v>1185</v>
      </c>
      <c r="J23" s="322" t="s">
        <v>1063</v>
      </c>
      <c r="K23" s="323" t="s">
        <v>1770</v>
      </c>
    </row>
    <row r="24" spans="1:11" s="322" customFormat="1">
      <c r="A24" s="324" t="s">
        <v>934</v>
      </c>
      <c r="B24" s="320" t="s">
        <v>1273</v>
      </c>
      <c r="C24" s="322" t="s">
        <v>1064</v>
      </c>
      <c r="D24" s="322" t="s">
        <v>1063</v>
      </c>
      <c r="E24" s="323" t="s">
        <v>1299</v>
      </c>
      <c r="F24" s="322" t="s">
        <v>1101</v>
      </c>
      <c r="G24" s="322" t="s">
        <v>1063</v>
      </c>
      <c r="H24" s="323" t="s">
        <v>1100</v>
      </c>
      <c r="I24" s="322" t="s">
        <v>1185</v>
      </c>
      <c r="J24" s="322" t="s">
        <v>1063</v>
      </c>
      <c r="K24" s="323" t="s">
        <v>1771</v>
      </c>
    </row>
    <row r="25" spans="1:11" s="322" customFormat="1">
      <c r="A25" s="324" t="s">
        <v>1298</v>
      </c>
      <c r="B25" s="320" t="s">
        <v>1273</v>
      </c>
      <c r="C25" s="322" t="s">
        <v>1064</v>
      </c>
      <c r="D25" s="322" t="s">
        <v>1063</v>
      </c>
      <c r="E25" s="323" t="s">
        <v>1297</v>
      </c>
      <c r="F25" s="322" t="s">
        <v>1101</v>
      </c>
      <c r="G25" s="322" t="s">
        <v>1063</v>
      </c>
      <c r="H25" s="323" t="s">
        <v>1100</v>
      </c>
      <c r="I25" s="322" t="s">
        <v>1185</v>
      </c>
      <c r="J25" s="322" t="s">
        <v>1063</v>
      </c>
      <c r="K25" s="323" t="s">
        <v>1772</v>
      </c>
    </row>
    <row r="26" spans="1:11" s="322" customFormat="1">
      <c r="A26" s="324" t="s">
        <v>1777</v>
      </c>
      <c r="B26" s="320" t="s">
        <v>1783</v>
      </c>
      <c r="C26" s="322" t="s">
        <v>44</v>
      </c>
      <c r="D26" s="322" t="s">
        <v>243</v>
      </c>
      <c r="E26" s="323" t="s">
        <v>1778</v>
      </c>
      <c r="F26" s="322" t="s">
        <v>1742</v>
      </c>
      <c r="G26" s="322" t="s">
        <v>243</v>
      </c>
      <c r="H26" s="323" t="s">
        <v>1784</v>
      </c>
      <c r="I26" s="322" t="s">
        <v>1746</v>
      </c>
      <c r="J26" s="322" t="s">
        <v>243</v>
      </c>
      <c r="K26" s="323" t="s">
        <v>1785</v>
      </c>
    </row>
    <row r="27" spans="1:11" s="322" customFormat="1">
      <c r="A27" s="324" t="s">
        <v>1296</v>
      </c>
      <c r="B27" s="320" t="s">
        <v>1273</v>
      </c>
      <c r="C27" s="322" t="s">
        <v>1064</v>
      </c>
      <c r="D27" s="322" t="s">
        <v>1063</v>
      </c>
      <c r="E27" s="323" t="s">
        <v>1295</v>
      </c>
      <c r="F27" s="322" t="s">
        <v>1101</v>
      </c>
      <c r="G27" s="322" t="s">
        <v>1063</v>
      </c>
      <c r="H27" s="323" t="s">
        <v>1294</v>
      </c>
      <c r="I27" s="322" t="s">
        <v>1746</v>
      </c>
      <c r="J27" s="322" t="s">
        <v>243</v>
      </c>
      <c r="K27" s="323" t="s">
        <v>1786</v>
      </c>
    </row>
    <row r="28" spans="1:11" s="322" customFormat="1">
      <c r="A28" s="324" t="s">
        <v>1293</v>
      </c>
      <c r="B28" s="320" t="s">
        <v>1273</v>
      </c>
      <c r="C28" s="322" t="s">
        <v>1064</v>
      </c>
      <c r="D28" s="322" t="s">
        <v>1063</v>
      </c>
      <c r="E28" s="323" t="s">
        <v>1787</v>
      </c>
      <c r="F28" s="322" t="s">
        <v>1101</v>
      </c>
      <c r="G28" s="322" t="s">
        <v>1063</v>
      </c>
      <c r="H28" s="323" t="s">
        <v>1204</v>
      </c>
      <c r="K28" s="323"/>
    </row>
    <row r="29" spans="1:11" s="322" customFormat="1">
      <c r="A29" s="324" t="s">
        <v>1292</v>
      </c>
      <c r="B29" s="320" t="s">
        <v>1273</v>
      </c>
      <c r="C29" s="322" t="s">
        <v>1064</v>
      </c>
      <c r="D29" s="322" t="s">
        <v>1063</v>
      </c>
      <c r="E29" s="323" t="s">
        <v>1228</v>
      </c>
      <c r="F29" s="322" t="s">
        <v>1101</v>
      </c>
      <c r="G29" s="322" t="s">
        <v>1063</v>
      </c>
      <c r="H29" s="323" t="s">
        <v>1189</v>
      </c>
      <c r="K29" s="323"/>
    </row>
    <row r="30" spans="1:11" s="322" customFormat="1">
      <c r="A30" s="324" t="s">
        <v>1291</v>
      </c>
      <c r="B30" s="320" t="s">
        <v>1273</v>
      </c>
      <c r="C30" s="322" t="s">
        <v>1064</v>
      </c>
      <c r="D30" s="322" t="s">
        <v>1063</v>
      </c>
      <c r="E30" s="323" t="s">
        <v>1227</v>
      </c>
      <c r="F30" s="322" t="s">
        <v>1101</v>
      </c>
      <c r="G30" s="322" t="s">
        <v>1063</v>
      </c>
      <c r="H30" s="323" t="s">
        <v>1226</v>
      </c>
      <c r="K30" s="323"/>
    </row>
    <row r="31" spans="1:11" s="322" customFormat="1">
      <c r="A31" s="324" t="s">
        <v>1290</v>
      </c>
      <c r="B31" s="320" t="s">
        <v>1273</v>
      </c>
      <c r="C31" s="322" t="s">
        <v>1064</v>
      </c>
      <c r="D31" s="322" t="s">
        <v>1063</v>
      </c>
      <c r="E31" s="323" t="s">
        <v>1289</v>
      </c>
      <c r="F31" s="322" t="s">
        <v>1101</v>
      </c>
      <c r="G31" s="322" t="s">
        <v>1063</v>
      </c>
      <c r="H31" s="323" t="s">
        <v>1201</v>
      </c>
      <c r="K31" s="323"/>
    </row>
    <row r="32" spans="1:11" s="322" customFormat="1">
      <c r="A32" s="324" t="s">
        <v>1288</v>
      </c>
      <c r="B32" s="320" t="s">
        <v>1273</v>
      </c>
      <c r="C32" s="322" t="s">
        <v>1064</v>
      </c>
      <c r="D32" s="322" t="s">
        <v>1063</v>
      </c>
      <c r="E32" s="323" t="s">
        <v>1287</v>
      </c>
      <c r="F32" s="322" t="s">
        <v>1101</v>
      </c>
      <c r="G32" s="322" t="s">
        <v>1063</v>
      </c>
      <c r="H32" s="323" t="s">
        <v>1198</v>
      </c>
      <c r="K32" s="323"/>
    </row>
    <row r="33" spans="1:11" s="322" customFormat="1">
      <c r="A33" s="324" t="s">
        <v>1286</v>
      </c>
      <c r="B33" s="320" t="s">
        <v>1273</v>
      </c>
      <c r="C33" s="322" t="s">
        <v>1064</v>
      </c>
      <c r="D33" s="322" t="s">
        <v>1063</v>
      </c>
      <c r="E33" s="323" t="s">
        <v>1285</v>
      </c>
      <c r="F33" s="322" t="s">
        <v>1101</v>
      </c>
      <c r="G33" s="322" t="s">
        <v>1063</v>
      </c>
      <c r="H33" s="323" t="s">
        <v>1284</v>
      </c>
      <c r="K33" s="323"/>
    </row>
    <row r="34" spans="1:11" s="322" customFormat="1">
      <c r="A34" s="324" t="s">
        <v>1283</v>
      </c>
      <c r="B34" s="320" t="s">
        <v>1273</v>
      </c>
      <c r="C34" s="322" t="s">
        <v>1064</v>
      </c>
      <c r="D34" s="322" t="s">
        <v>1063</v>
      </c>
      <c r="E34" s="323" t="s">
        <v>1282</v>
      </c>
      <c r="F34" s="322" t="s">
        <v>1101</v>
      </c>
      <c r="G34" s="322" t="s">
        <v>1063</v>
      </c>
      <c r="H34" s="323" t="s">
        <v>1198</v>
      </c>
      <c r="K34" s="323"/>
    </row>
    <row r="35" spans="1:11" s="322" customFormat="1">
      <c r="A35" s="324" t="s">
        <v>1281</v>
      </c>
      <c r="B35" s="320" t="s">
        <v>1273</v>
      </c>
      <c r="C35" s="322" t="s">
        <v>1064</v>
      </c>
      <c r="D35" s="322" t="s">
        <v>1063</v>
      </c>
      <c r="E35" s="323" t="s">
        <v>1280</v>
      </c>
      <c r="F35" s="322" t="s">
        <v>1101</v>
      </c>
      <c r="G35" s="322" t="s">
        <v>1063</v>
      </c>
      <c r="H35" s="323" t="s">
        <v>1201</v>
      </c>
      <c r="K35" s="323"/>
    </row>
    <row r="36" spans="1:11" s="322" customFormat="1">
      <c r="A36" s="324" t="s">
        <v>1279</v>
      </c>
      <c r="B36" s="320" t="s">
        <v>1273</v>
      </c>
      <c r="C36" s="322" t="s">
        <v>1064</v>
      </c>
      <c r="D36" s="322" t="s">
        <v>1063</v>
      </c>
      <c r="E36" s="323" t="s">
        <v>1278</v>
      </c>
      <c r="F36" s="322" t="s">
        <v>1101</v>
      </c>
      <c r="G36" s="322" t="s">
        <v>1063</v>
      </c>
      <c r="H36" s="323" t="s">
        <v>1198</v>
      </c>
      <c r="K36" s="323"/>
    </row>
    <row r="37" spans="1:11" s="322" customFormat="1">
      <c r="A37" s="324" t="s">
        <v>1277</v>
      </c>
      <c r="B37" s="320" t="s">
        <v>1273</v>
      </c>
      <c r="C37" s="322" t="s">
        <v>1064</v>
      </c>
      <c r="D37" s="322" t="s">
        <v>1063</v>
      </c>
      <c r="E37" s="323" t="s">
        <v>1276</v>
      </c>
      <c r="F37" s="322" t="s">
        <v>1101</v>
      </c>
      <c r="G37" s="322" t="s">
        <v>1063</v>
      </c>
      <c r="H37" s="323" t="s">
        <v>1275</v>
      </c>
      <c r="K37" s="323"/>
    </row>
    <row r="38" spans="1:11" s="322" customFormat="1">
      <c r="A38" s="324" t="s">
        <v>1274</v>
      </c>
      <c r="B38" s="320" t="s">
        <v>1273</v>
      </c>
      <c r="C38" s="322" t="s">
        <v>1064</v>
      </c>
      <c r="D38" s="322" t="s">
        <v>1063</v>
      </c>
      <c r="E38" s="323" t="s">
        <v>1191</v>
      </c>
      <c r="F38" s="322" t="s">
        <v>1101</v>
      </c>
      <c r="G38" s="322" t="s">
        <v>1063</v>
      </c>
      <c r="H38" s="323" t="s">
        <v>1190</v>
      </c>
      <c r="K38" s="323"/>
    </row>
    <row r="39" spans="1:11" s="312" customFormat="1">
      <c r="A39" s="314" t="s">
        <v>1272</v>
      </c>
      <c r="B39" s="320" t="s">
        <v>1236</v>
      </c>
      <c r="C39" s="312" t="s">
        <v>1064</v>
      </c>
      <c r="D39" s="312" t="s">
        <v>1063</v>
      </c>
      <c r="E39" s="313" t="s">
        <v>1271</v>
      </c>
      <c r="F39" s="312" t="s">
        <v>1101</v>
      </c>
      <c r="G39" s="312" t="s">
        <v>1063</v>
      </c>
      <c r="H39" s="313" t="s">
        <v>1152</v>
      </c>
      <c r="K39" s="313"/>
    </row>
    <row r="40" spans="1:11" s="312" customFormat="1">
      <c r="A40" s="314" t="s">
        <v>1270</v>
      </c>
      <c r="B40" s="320" t="s">
        <v>1236</v>
      </c>
      <c r="C40" s="312" t="s">
        <v>1064</v>
      </c>
      <c r="D40" s="312" t="s">
        <v>1063</v>
      </c>
      <c r="E40" s="313" t="s">
        <v>1269</v>
      </c>
      <c r="F40" s="312" t="s">
        <v>1101</v>
      </c>
      <c r="G40" s="312" t="s">
        <v>1063</v>
      </c>
      <c r="H40" s="313" t="s">
        <v>1152</v>
      </c>
      <c r="K40" s="313"/>
    </row>
    <row r="41" spans="1:11" s="312" customFormat="1">
      <c r="A41" s="314" t="s">
        <v>1268</v>
      </c>
      <c r="B41" s="320" t="s">
        <v>1236</v>
      </c>
      <c r="C41" s="312" t="s">
        <v>1064</v>
      </c>
      <c r="D41" s="312" t="s">
        <v>1063</v>
      </c>
      <c r="E41" s="313" t="s">
        <v>1267</v>
      </c>
      <c r="F41" s="312" t="s">
        <v>1101</v>
      </c>
      <c r="G41" s="312" t="s">
        <v>1063</v>
      </c>
      <c r="H41" s="313" t="s">
        <v>1152</v>
      </c>
      <c r="K41" s="313"/>
    </row>
    <row r="42" spans="1:11" s="312" customFormat="1">
      <c r="A42" s="314" t="s">
        <v>1266</v>
      </c>
      <c r="B42" s="320" t="s">
        <v>1236</v>
      </c>
      <c r="C42" s="312" t="s">
        <v>1064</v>
      </c>
      <c r="D42" s="312" t="s">
        <v>1063</v>
      </c>
      <c r="E42" s="313" t="s">
        <v>1265</v>
      </c>
      <c r="F42" s="312" t="s">
        <v>1101</v>
      </c>
      <c r="G42" s="312" t="s">
        <v>1063</v>
      </c>
      <c r="H42" s="313" t="s">
        <v>1152</v>
      </c>
      <c r="K42" s="313"/>
    </row>
    <row r="43" spans="1:11" s="312" customFormat="1">
      <c r="A43" s="314" t="s">
        <v>1264</v>
      </c>
      <c r="B43" s="320" t="s">
        <v>1236</v>
      </c>
      <c r="C43" s="312" t="s">
        <v>1064</v>
      </c>
      <c r="D43" s="312" t="s">
        <v>1063</v>
      </c>
      <c r="E43" s="313" t="s">
        <v>1263</v>
      </c>
      <c r="F43" s="312" t="s">
        <v>1101</v>
      </c>
      <c r="G43" s="312" t="s">
        <v>1063</v>
      </c>
      <c r="H43" s="313" t="s">
        <v>1152</v>
      </c>
      <c r="K43" s="313"/>
    </row>
    <row r="44" spans="1:11" s="312" customFormat="1">
      <c r="A44" s="314" t="s">
        <v>1262</v>
      </c>
      <c r="B44" s="320" t="s">
        <v>1236</v>
      </c>
      <c r="C44" s="312" t="s">
        <v>1064</v>
      </c>
      <c r="D44" s="312" t="s">
        <v>1063</v>
      </c>
      <c r="E44" s="313" t="s">
        <v>1261</v>
      </c>
      <c r="F44" s="312" t="s">
        <v>1101</v>
      </c>
      <c r="G44" s="312" t="s">
        <v>1063</v>
      </c>
      <c r="H44" s="313" t="s">
        <v>1152</v>
      </c>
      <c r="K44" s="313"/>
    </row>
    <row r="45" spans="1:11" s="312" customFormat="1">
      <c r="A45" s="314" t="s">
        <v>1260</v>
      </c>
      <c r="B45" s="320" t="s">
        <v>1236</v>
      </c>
      <c r="C45" s="312" t="s">
        <v>1064</v>
      </c>
      <c r="D45" s="312" t="s">
        <v>1063</v>
      </c>
      <c r="E45" s="313" t="s">
        <v>1259</v>
      </c>
      <c r="F45" s="312" t="s">
        <v>1101</v>
      </c>
      <c r="G45" s="312" t="s">
        <v>1063</v>
      </c>
      <c r="H45" s="313" t="s">
        <v>1152</v>
      </c>
      <c r="K45" s="313"/>
    </row>
    <row r="46" spans="1:11" s="312" customFormat="1">
      <c r="A46" s="314" t="s">
        <v>1258</v>
      </c>
      <c r="B46" s="320" t="s">
        <v>1236</v>
      </c>
      <c r="C46" s="312" t="s">
        <v>1064</v>
      </c>
      <c r="D46" s="312" t="s">
        <v>1063</v>
      </c>
      <c r="E46" s="313" t="s">
        <v>1257</v>
      </c>
      <c r="F46" s="312" t="s">
        <v>1101</v>
      </c>
      <c r="G46" s="312" t="s">
        <v>1063</v>
      </c>
      <c r="H46" s="313" t="s">
        <v>1152</v>
      </c>
      <c r="K46" s="313"/>
    </row>
    <row r="47" spans="1:11" s="312" customFormat="1">
      <c r="A47" s="314" t="s">
        <v>1256</v>
      </c>
      <c r="B47" s="320" t="s">
        <v>1236</v>
      </c>
      <c r="C47" s="312" t="s">
        <v>1064</v>
      </c>
      <c r="D47" s="312" t="s">
        <v>1063</v>
      </c>
      <c r="E47" s="313" t="s">
        <v>1255</v>
      </c>
      <c r="F47" s="312" t="s">
        <v>1101</v>
      </c>
      <c r="G47" s="312" t="s">
        <v>1063</v>
      </c>
      <c r="H47" s="313" t="s">
        <v>1152</v>
      </c>
      <c r="K47" s="313"/>
    </row>
    <row r="48" spans="1:11" s="312" customFormat="1">
      <c r="A48" s="314" t="s">
        <v>1254</v>
      </c>
      <c r="B48" s="320" t="s">
        <v>1236</v>
      </c>
      <c r="C48" s="312" t="s">
        <v>1064</v>
      </c>
      <c r="D48" s="312" t="s">
        <v>1063</v>
      </c>
      <c r="E48" s="313" t="s">
        <v>1253</v>
      </c>
      <c r="F48" s="312" t="s">
        <v>1101</v>
      </c>
      <c r="G48" s="312" t="s">
        <v>1063</v>
      </c>
      <c r="H48" s="313" t="s">
        <v>1152</v>
      </c>
      <c r="K48" s="313"/>
    </row>
    <row r="49" spans="1:11" s="312" customFormat="1">
      <c r="A49" s="314" t="s">
        <v>1252</v>
      </c>
      <c r="B49" s="320" t="s">
        <v>1236</v>
      </c>
      <c r="C49" s="312" t="s">
        <v>1064</v>
      </c>
      <c r="D49" s="312" t="s">
        <v>1063</v>
      </c>
      <c r="E49" s="313" t="s">
        <v>1251</v>
      </c>
      <c r="F49" s="312" t="s">
        <v>1101</v>
      </c>
      <c r="G49" s="312" t="s">
        <v>1063</v>
      </c>
      <c r="H49" s="313" t="s">
        <v>1152</v>
      </c>
      <c r="K49" s="313"/>
    </row>
    <row r="50" spans="1:11" s="312" customFormat="1">
      <c r="A50" s="314" t="s">
        <v>1250</v>
      </c>
      <c r="B50" s="320" t="s">
        <v>1236</v>
      </c>
      <c r="C50" s="312" t="s">
        <v>1064</v>
      </c>
      <c r="D50" s="312" t="s">
        <v>1063</v>
      </c>
      <c r="E50" s="313" t="s">
        <v>1249</v>
      </c>
      <c r="F50" s="312" t="s">
        <v>1101</v>
      </c>
      <c r="G50" s="312" t="s">
        <v>1063</v>
      </c>
      <c r="H50" s="313" t="s">
        <v>1152</v>
      </c>
      <c r="K50" s="313"/>
    </row>
    <row r="51" spans="1:11" s="312" customFormat="1">
      <c r="A51" s="314" t="s">
        <v>1248</v>
      </c>
      <c r="B51" s="320" t="s">
        <v>1236</v>
      </c>
      <c r="C51" s="312" t="s">
        <v>1064</v>
      </c>
      <c r="D51" s="312" t="s">
        <v>1063</v>
      </c>
      <c r="E51" s="313" t="s">
        <v>1247</v>
      </c>
      <c r="F51" s="312" t="s">
        <v>1101</v>
      </c>
      <c r="G51" s="312" t="s">
        <v>1063</v>
      </c>
      <c r="H51" s="313" t="s">
        <v>1152</v>
      </c>
      <c r="K51" s="313"/>
    </row>
    <row r="52" spans="1:11" s="312" customFormat="1">
      <c r="A52" s="314" t="s">
        <v>1246</v>
      </c>
      <c r="B52" s="320" t="s">
        <v>1236</v>
      </c>
      <c r="C52" s="312" t="s">
        <v>1064</v>
      </c>
      <c r="D52" s="312" t="s">
        <v>1063</v>
      </c>
      <c r="E52" s="313" t="s">
        <v>1245</v>
      </c>
      <c r="F52" s="312" t="s">
        <v>1101</v>
      </c>
      <c r="G52" s="312" t="s">
        <v>1063</v>
      </c>
      <c r="H52" s="313" t="s">
        <v>1152</v>
      </c>
      <c r="K52" s="313"/>
    </row>
    <row r="53" spans="1:11" s="312" customFormat="1">
      <c r="A53" s="314" t="s">
        <v>1244</v>
      </c>
      <c r="B53" s="320" t="s">
        <v>1236</v>
      </c>
      <c r="C53" s="312" t="s">
        <v>1064</v>
      </c>
      <c r="D53" s="312" t="s">
        <v>1063</v>
      </c>
      <c r="E53" s="313" t="s">
        <v>1224</v>
      </c>
      <c r="F53" s="312" t="s">
        <v>1101</v>
      </c>
      <c r="G53" s="312" t="s">
        <v>1063</v>
      </c>
      <c r="H53" s="313" t="s">
        <v>1152</v>
      </c>
      <c r="K53" s="313"/>
    </row>
    <row r="54" spans="1:11" s="312" customFormat="1">
      <c r="A54" s="314" t="s">
        <v>1243</v>
      </c>
      <c r="B54" s="320" t="s">
        <v>1236</v>
      </c>
      <c r="C54" s="312" t="s">
        <v>1064</v>
      </c>
      <c r="D54" s="312" t="s">
        <v>1063</v>
      </c>
      <c r="E54" s="313" t="s">
        <v>1242</v>
      </c>
      <c r="F54" s="312" t="s">
        <v>1101</v>
      </c>
      <c r="G54" s="312" t="s">
        <v>1063</v>
      </c>
      <c r="H54" s="313" t="s">
        <v>1152</v>
      </c>
      <c r="K54" s="313"/>
    </row>
    <row r="55" spans="1:11" s="312" customFormat="1">
      <c r="A55" s="314" t="s">
        <v>1241</v>
      </c>
      <c r="B55" s="320" t="s">
        <v>1236</v>
      </c>
      <c r="C55" s="312" t="s">
        <v>1064</v>
      </c>
      <c r="D55" s="312" t="s">
        <v>1063</v>
      </c>
      <c r="E55" s="313" t="s">
        <v>1240</v>
      </c>
      <c r="F55" s="312" t="s">
        <v>1101</v>
      </c>
      <c r="G55" s="312" t="s">
        <v>1063</v>
      </c>
      <c r="H55" s="313" t="s">
        <v>1152</v>
      </c>
      <c r="K55" s="313"/>
    </row>
    <row r="56" spans="1:11" s="312" customFormat="1">
      <c r="A56" s="314" t="s">
        <v>1239</v>
      </c>
      <c r="B56" s="320" t="s">
        <v>1236</v>
      </c>
      <c r="C56" s="312" t="s">
        <v>1064</v>
      </c>
      <c r="D56" s="312" t="s">
        <v>1063</v>
      </c>
      <c r="E56" s="313" t="s">
        <v>1238</v>
      </c>
      <c r="F56" s="312" t="s">
        <v>1101</v>
      </c>
      <c r="G56" s="312" t="s">
        <v>1063</v>
      </c>
      <c r="H56" s="313" t="s">
        <v>1152</v>
      </c>
      <c r="K56" s="313"/>
    </row>
    <row r="57" spans="1:11" s="312" customFormat="1">
      <c r="A57" s="314" t="s">
        <v>1237</v>
      </c>
      <c r="B57" s="320" t="s">
        <v>1236</v>
      </c>
      <c r="C57" s="312" t="s">
        <v>1064</v>
      </c>
      <c r="D57" s="312" t="s">
        <v>1063</v>
      </c>
      <c r="E57" s="313" t="s">
        <v>1235</v>
      </c>
      <c r="F57" s="312" t="s">
        <v>1101</v>
      </c>
      <c r="G57" s="312" t="s">
        <v>1063</v>
      </c>
      <c r="H57" s="313" t="s">
        <v>1152</v>
      </c>
      <c r="K57" s="313"/>
    </row>
    <row r="58" spans="1:11" s="315" customFormat="1">
      <c r="A58" s="321" t="s">
        <v>948</v>
      </c>
      <c r="B58" s="320" t="s">
        <v>1211</v>
      </c>
      <c r="C58" s="315" t="s">
        <v>1064</v>
      </c>
      <c r="D58" s="315" t="s">
        <v>1063</v>
      </c>
      <c r="E58" s="316" t="s">
        <v>1234</v>
      </c>
      <c r="F58" s="315" t="s">
        <v>1101</v>
      </c>
      <c r="G58" s="315" t="s">
        <v>1063</v>
      </c>
      <c r="H58" s="316" t="s">
        <v>1189</v>
      </c>
      <c r="K58" s="316"/>
    </row>
    <row r="59" spans="1:11" s="315" customFormat="1">
      <c r="A59" s="321" t="s">
        <v>947</v>
      </c>
      <c r="B59" s="320" t="s">
        <v>1211</v>
      </c>
      <c r="C59" s="315" t="s">
        <v>1064</v>
      </c>
      <c r="D59" s="315" t="s">
        <v>1063</v>
      </c>
      <c r="E59" s="316" t="s">
        <v>1233</v>
      </c>
      <c r="F59" s="315" t="s">
        <v>1101</v>
      </c>
      <c r="G59" s="315" t="s">
        <v>1063</v>
      </c>
      <c r="H59" s="316" t="s">
        <v>1226</v>
      </c>
      <c r="K59" s="316"/>
    </row>
    <row r="60" spans="1:11" s="315" customFormat="1">
      <c r="A60" s="321" t="s">
        <v>1232</v>
      </c>
      <c r="B60" s="320" t="s">
        <v>1211</v>
      </c>
      <c r="C60" s="315" t="s">
        <v>1064</v>
      </c>
      <c r="D60" s="315" t="s">
        <v>1063</v>
      </c>
      <c r="E60" s="316" t="s">
        <v>1231</v>
      </c>
      <c r="F60" s="315" t="s">
        <v>1101</v>
      </c>
      <c r="G60" s="315" t="s">
        <v>1063</v>
      </c>
      <c r="H60" s="316" t="s">
        <v>1230</v>
      </c>
      <c r="K60" s="316"/>
    </row>
    <row r="61" spans="1:11" s="315" customFormat="1">
      <c r="A61" s="321" t="s">
        <v>949</v>
      </c>
      <c r="B61" s="320" t="s">
        <v>1211</v>
      </c>
      <c r="C61" s="315" t="s">
        <v>1064</v>
      </c>
      <c r="D61" s="315" t="s">
        <v>1063</v>
      </c>
      <c r="E61" s="316" t="s">
        <v>1229</v>
      </c>
      <c r="F61" s="315" t="s">
        <v>1101</v>
      </c>
      <c r="G61" s="315" t="s">
        <v>1063</v>
      </c>
      <c r="H61" s="316" t="s">
        <v>1152</v>
      </c>
      <c r="K61" s="316"/>
    </row>
    <row r="62" spans="1:11" s="315" customFormat="1">
      <c r="A62" s="321" t="s">
        <v>944</v>
      </c>
      <c r="B62" s="320" t="s">
        <v>1211</v>
      </c>
      <c r="C62" s="315" t="s">
        <v>1064</v>
      </c>
      <c r="D62" s="315" t="s">
        <v>1063</v>
      </c>
      <c r="E62" s="316" t="s">
        <v>1228</v>
      </c>
      <c r="F62" s="315" t="s">
        <v>1101</v>
      </c>
      <c r="G62" s="315" t="s">
        <v>1063</v>
      </c>
      <c r="H62" s="316" t="s">
        <v>1189</v>
      </c>
      <c r="K62" s="316"/>
    </row>
    <row r="63" spans="1:11" s="315" customFormat="1">
      <c r="A63" s="321" t="s">
        <v>945</v>
      </c>
      <c r="B63" s="320" t="s">
        <v>1211</v>
      </c>
      <c r="C63" s="315" t="s">
        <v>1064</v>
      </c>
      <c r="D63" s="315" t="s">
        <v>1063</v>
      </c>
      <c r="E63" s="316" t="s">
        <v>1227</v>
      </c>
      <c r="F63" s="315" t="s">
        <v>1101</v>
      </c>
      <c r="G63" s="315" t="s">
        <v>1063</v>
      </c>
      <c r="H63" s="316" t="s">
        <v>1226</v>
      </c>
      <c r="K63" s="316"/>
    </row>
    <row r="64" spans="1:11" s="315" customFormat="1">
      <c r="A64" s="321" t="s">
        <v>1225</v>
      </c>
      <c r="B64" s="320" t="s">
        <v>1211</v>
      </c>
      <c r="C64" s="315" t="s">
        <v>1064</v>
      </c>
      <c r="D64" s="315" t="s">
        <v>1063</v>
      </c>
      <c r="E64" s="316" t="s">
        <v>1224</v>
      </c>
      <c r="F64" s="315" t="s">
        <v>1101</v>
      </c>
      <c r="G64" s="315" t="s">
        <v>1063</v>
      </c>
      <c r="H64" s="316" t="s">
        <v>1100</v>
      </c>
      <c r="K64" s="316"/>
    </row>
    <row r="65" spans="1:11" s="315" customFormat="1">
      <c r="A65" s="321" t="s">
        <v>950</v>
      </c>
      <c r="B65" s="320" t="s">
        <v>1211</v>
      </c>
      <c r="C65" s="315" t="s">
        <v>1064</v>
      </c>
      <c r="D65" s="315" t="s">
        <v>1063</v>
      </c>
      <c r="E65" s="316" t="s">
        <v>1223</v>
      </c>
      <c r="F65" s="315" t="s">
        <v>1101</v>
      </c>
      <c r="G65" s="315" t="s">
        <v>1063</v>
      </c>
      <c r="H65" s="316" t="s">
        <v>1152</v>
      </c>
      <c r="K65" s="316"/>
    </row>
    <row r="66" spans="1:11" s="315" customFormat="1">
      <c r="A66" s="321" t="s">
        <v>951</v>
      </c>
      <c r="B66" s="320" t="s">
        <v>1211</v>
      </c>
      <c r="C66" s="315" t="s">
        <v>1064</v>
      </c>
      <c r="D66" s="315" t="s">
        <v>1063</v>
      </c>
      <c r="E66" s="316" t="s">
        <v>1222</v>
      </c>
      <c r="F66" s="315" t="s">
        <v>1101</v>
      </c>
      <c r="G66" s="315" t="s">
        <v>1063</v>
      </c>
      <c r="H66" s="316" t="s">
        <v>1152</v>
      </c>
      <c r="K66" s="316"/>
    </row>
    <row r="67" spans="1:11" s="315" customFormat="1">
      <c r="A67" s="321" t="s">
        <v>952</v>
      </c>
      <c r="B67" s="320" t="s">
        <v>1211</v>
      </c>
      <c r="C67" s="315" t="s">
        <v>1064</v>
      </c>
      <c r="D67" s="315" t="s">
        <v>1063</v>
      </c>
      <c r="E67" s="316" t="s">
        <v>1221</v>
      </c>
      <c r="F67" s="315" t="s">
        <v>1101</v>
      </c>
      <c r="G67" s="315" t="s">
        <v>1063</v>
      </c>
      <c r="H67" s="316" t="s">
        <v>1152</v>
      </c>
      <c r="K67" s="316"/>
    </row>
    <row r="68" spans="1:11" s="315" customFormat="1">
      <c r="A68" s="321" t="s">
        <v>953</v>
      </c>
      <c r="B68" s="320" t="s">
        <v>1211</v>
      </c>
      <c r="C68" s="315" t="s">
        <v>1064</v>
      </c>
      <c r="D68" s="315" t="s">
        <v>1063</v>
      </c>
      <c r="E68" s="316" t="s">
        <v>1220</v>
      </c>
      <c r="F68" s="315" t="s">
        <v>1101</v>
      </c>
      <c r="G68" s="315" t="s">
        <v>1063</v>
      </c>
      <c r="H68" s="316" t="s">
        <v>1152</v>
      </c>
      <c r="K68" s="316"/>
    </row>
    <row r="69" spans="1:11" s="317" customFormat="1">
      <c r="A69" s="317" t="s">
        <v>955</v>
      </c>
      <c r="B69" s="320" t="s">
        <v>1211</v>
      </c>
      <c r="C69" s="319" t="s">
        <v>1064</v>
      </c>
      <c r="D69" s="319" t="s">
        <v>1063</v>
      </c>
      <c r="E69" s="318" t="s">
        <v>1219</v>
      </c>
      <c r="F69" s="319" t="s">
        <v>1101</v>
      </c>
      <c r="G69" s="315" t="s">
        <v>1063</v>
      </c>
      <c r="H69" s="316" t="s">
        <v>1152</v>
      </c>
      <c r="I69" s="315"/>
      <c r="J69" s="315"/>
      <c r="K69" s="318"/>
    </row>
    <row r="70" spans="1:11" s="317" customFormat="1">
      <c r="A70" s="317" t="s">
        <v>954</v>
      </c>
      <c r="B70" s="320" t="s">
        <v>1211</v>
      </c>
      <c r="C70" s="319" t="s">
        <v>1064</v>
      </c>
      <c r="D70" s="319" t="s">
        <v>1063</v>
      </c>
      <c r="E70" s="318" t="s">
        <v>1218</v>
      </c>
      <c r="F70" s="319" t="s">
        <v>1101</v>
      </c>
      <c r="G70" s="315" t="s">
        <v>1063</v>
      </c>
      <c r="H70" s="316" t="s">
        <v>1152</v>
      </c>
      <c r="I70" s="315"/>
      <c r="J70" s="315"/>
      <c r="K70" s="318"/>
    </row>
    <row r="71" spans="1:11" s="317" customFormat="1">
      <c r="A71" s="317" t="s">
        <v>956</v>
      </c>
      <c r="B71" s="320" t="s">
        <v>1211</v>
      </c>
      <c r="C71" s="319" t="s">
        <v>1064</v>
      </c>
      <c r="D71" s="319" t="s">
        <v>1063</v>
      </c>
      <c r="E71" s="318" t="s">
        <v>1217</v>
      </c>
      <c r="F71" s="319" t="s">
        <v>1101</v>
      </c>
      <c r="G71" s="315" t="s">
        <v>1063</v>
      </c>
      <c r="H71" s="316" t="s">
        <v>1152</v>
      </c>
      <c r="I71" s="315"/>
      <c r="J71" s="315"/>
      <c r="K71" s="318"/>
    </row>
    <row r="72" spans="1:11" s="317" customFormat="1">
      <c r="A72" s="317" t="s">
        <v>957</v>
      </c>
      <c r="B72" s="320" t="s">
        <v>1211</v>
      </c>
      <c r="C72" s="319" t="s">
        <v>1064</v>
      </c>
      <c r="D72" s="319" t="s">
        <v>1063</v>
      </c>
      <c r="E72" s="318" t="s">
        <v>1216</v>
      </c>
      <c r="F72" s="319" t="s">
        <v>1101</v>
      </c>
      <c r="G72" s="315" t="s">
        <v>1063</v>
      </c>
      <c r="H72" s="316" t="s">
        <v>1152</v>
      </c>
      <c r="I72" s="315"/>
      <c r="J72" s="315"/>
      <c r="K72" s="318"/>
    </row>
    <row r="73" spans="1:11" s="317" customFormat="1">
      <c r="A73" s="317" t="s">
        <v>958</v>
      </c>
      <c r="B73" s="320" t="s">
        <v>1211</v>
      </c>
      <c r="C73" s="319" t="s">
        <v>1064</v>
      </c>
      <c r="D73" s="319" t="s">
        <v>1063</v>
      </c>
      <c r="E73" s="318" t="s">
        <v>1215</v>
      </c>
      <c r="F73" s="319" t="s">
        <v>1101</v>
      </c>
      <c r="G73" s="315" t="s">
        <v>1063</v>
      </c>
      <c r="H73" s="316" t="s">
        <v>1152</v>
      </c>
      <c r="I73" s="315"/>
      <c r="J73" s="315"/>
      <c r="K73" s="318"/>
    </row>
    <row r="74" spans="1:11" s="317" customFormat="1">
      <c r="A74" s="317" t="s">
        <v>959</v>
      </c>
      <c r="B74" s="320" t="s">
        <v>1211</v>
      </c>
      <c r="C74" s="319" t="s">
        <v>1064</v>
      </c>
      <c r="D74" s="319" t="s">
        <v>1063</v>
      </c>
      <c r="E74" s="318" t="s">
        <v>1214</v>
      </c>
      <c r="F74" s="319" t="s">
        <v>1101</v>
      </c>
      <c r="G74" s="315" t="s">
        <v>1063</v>
      </c>
      <c r="H74" s="316" t="s">
        <v>1152</v>
      </c>
      <c r="I74" s="315"/>
      <c r="J74" s="315"/>
      <c r="K74" s="318"/>
    </row>
    <row r="75" spans="1:11" s="317" customFormat="1">
      <c r="A75" s="317" t="s">
        <v>961</v>
      </c>
      <c r="B75" s="320" t="s">
        <v>1211</v>
      </c>
      <c r="C75" s="319" t="s">
        <v>1064</v>
      </c>
      <c r="D75" s="319" t="s">
        <v>1063</v>
      </c>
      <c r="E75" s="318" t="s">
        <v>1213</v>
      </c>
      <c r="F75" s="319" t="s">
        <v>1101</v>
      </c>
      <c r="G75" s="315" t="s">
        <v>1063</v>
      </c>
      <c r="H75" s="316" t="s">
        <v>1152</v>
      </c>
      <c r="I75" s="315"/>
      <c r="J75" s="315"/>
      <c r="K75" s="318"/>
    </row>
    <row r="76" spans="1:11" s="317" customFormat="1">
      <c r="A76" s="317" t="s">
        <v>960</v>
      </c>
      <c r="B76" s="320" t="s">
        <v>1211</v>
      </c>
      <c r="C76" s="319" t="s">
        <v>1064</v>
      </c>
      <c r="D76" s="319" t="s">
        <v>1063</v>
      </c>
      <c r="E76" s="318" t="s">
        <v>1212</v>
      </c>
      <c r="F76" s="319" t="s">
        <v>1101</v>
      </c>
      <c r="G76" s="315" t="s">
        <v>1063</v>
      </c>
      <c r="H76" s="316" t="s">
        <v>1152</v>
      </c>
      <c r="I76" s="315"/>
      <c r="J76" s="315"/>
      <c r="K76" s="318"/>
    </row>
    <row r="77" spans="1:11" s="317" customFormat="1">
      <c r="A77" s="317" t="s">
        <v>946</v>
      </c>
      <c r="B77" s="320" t="s">
        <v>1211</v>
      </c>
      <c r="C77" s="319" t="s">
        <v>1064</v>
      </c>
      <c r="D77" s="319" t="s">
        <v>1063</v>
      </c>
      <c r="E77" s="318" t="s">
        <v>1210</v>
      </c>
      <c r="F77" s="319" t="s">
        <v>1101</v>
      </c>
      <c r="G77" s="315" t="s">
        <v>1063</v>
      </c>
      <c r="H77" s="316" t="s">
        <v>1209</v>
      </c>
      <c r="I77" s="315"/>
      <c r="J77" s="315"/>
      <c r="K77" s="318"/>
    </row>
    <row r="78" spans="1:11" s="308" customFormat="1">
      <c r="A78" s="308" t="s">
        <v>1208</v>
      </c>
      <c r="B78" s="304" t="s">
        <v>1193</v>
      </c>
      <c r="C78" s="308" t="s">
        <v>1064</v>
      </c>
      <c r="D78" s="308" t="s">
        <v>1063</v>
      </c>
      <c r="E78" s="309"/>
      <c r="F78" s="308" t="s">
        <v>1101</v>
      </c>
      <c r="G78" s="308" t="s">
        <v>1063</v>
      </c>
      <c r="H78" s="309" t="s">
        <v>1207</v>
      </c>
      <c r="K78" s="309"/>
    </row>
    <row r="79" spans="1:11" s="308" customFormat="1">
      <c r="A79" s="308" t="s">
        <v>1206</v>
      </c>
      <c r="B79" s="304" t="s">
        <v>1193</v>
      </c>
      <c r="C79" s="308" t="s">
        <v>1064</v>
      </c>
      <c r="D79" s="308" t="s">
        <v>1063</v>
      </c>
      <c r="E79" s="309" t="s">
        <v>1205</v>
      </c>
      <c r="F79" s="308" t="s">
        <v>1101</v>
      </c>
      <c r="G79" s="308" t="s">
        <v>1063</v>
      </c>
      <c r="H79" s="309" t="s">
        <v>1204</v>
      </c>
      <c r="K79" s="309"/>
    </row>
    <row r="80" spans="1:11" s="308" customFormat="1">
      <c r="A80" s="308" t="s">
        <v>1203</v>
      </c>
      <c r="B80" s="304" t="s">
        <v>1193</v>
      </c>
      <c r="C80" s="308" t="s">
        <v>1064</v>
      </c>
      <c r="D80" s="308" t="s">
        <v>1063</v>
      </c>
      <c r="E80" s="309" t="s">
        <v>1202</v>
      </c>
      <c r="F80" s="308" t="s">
        <v>1101</v>
      </c>
      <c r="G80" s="308" t="s">
        <v>1063</v>
      </c>
      <c r="H80" s="309" t="s">
        <v>1201</v>
      </c>
      <c r="K80" s="309"/>
    </row>
    <row r="81" spans="1:11" s="308" customFormat="1">
      <c r="A81" s="308" t="s">
        <v>1200</v>
      </c>
      <c r="B81" s="304" t="s">
        <v>1193</v>
      </c>
      <c r="C81" s="308" t="s">
        <v>1064</v>
      </c>
      <c r="D81" s="308" t="s">
        <v>1063</v>
      </c>
      <c r="E81" s="309" t="s">
        <v>1199</v>
      </c>
      <c r="F81" s="308" t="s">
        <v>1101</v>
      </c>
      <c r="G81" s="308" t="s">
        <v>1063</v>
      </c>
      <c r="H81" s="309" t="s">
        <v>1198</v>
      </c>
      <c r="K81" s="309"/>
    </row>
    <row r="82" spans="1:11" s="308" customFormat="1">
      <c r="A82" s="308" t="s">
        <v>1197</v>
      </c>
      <c r="B82" s="304" t="s">
        <v>1193</v>
      </c>
      <c r="C82" s="308" t="s">
        <v>1064</v>
      </c>
      <c r="D82" s="308" t="s">
        <v>1063</v>
      </c>
      <c r="E82" s="309" t="s">
        <v>1196</v>
      </c>
      <c r="F82" s="308" t="s">
        <v>1101</v>
      </c>
      <c r="G82" s="308" t="s">
        <v>1063</v>
      </c>
      <c r="H82" s="309" t="s">
        <v>1195</v>
      </c>
      <c r="K82" s="309"/>
    </row>
    <row r="83" spans="1:11" s="308" customFormat="1">
      <c r="A83" s="308" t="s">
        <v>1194</v>
      </c>
      <c r="B83" s="304" t="s">
        <v>1193</v>
      </c>
      <c r="C83" s="308" t="s">
        <v>1064</v>
      </c>
      <c r="D83" s="308" t="s">
        <v>1063</v>
      </c>
      <c r="E83" s="309" t="s">
        <v>1192</v>
      </c>
      <c r="F83" s="308" t="s">
        <v>1101</v>
      </c>
      <c r="G83" s="308" t="s">
        <v>1063</v>
      </c>
      <c r="H83" s="309" t="s">
        <v>1189</v>
      </c>
      <c r="K83" s="309"/>
    </row>
    <row r="84" spans="1:11" s="315" customFormat="1">
      <c r="A84" s="315" t="s">
        <v>1732</v>
      </c>
      <c r="B84" s="304" t="s">
        <v>1186</v>
      </c>
      <c r="C84" s="315" t="s">
        <v>1064</v>
      </c>
      <c r="D84" s="315" t="s">
        <v>1063</v>
      </c>
      <c r="E84" s="316" t="s">
        <v>1737</v>
      </c>
      <c r="F84" s="315" t="s">
        <v>1101</v>
      </c>
      <c r="G84" s="315" t="s">
        <v>1063</v>
      </c>
      <c r="H84" s="316" t="s">
        <v>1745</v>
      </c>
      <c r="I84" s="315" t="s">
        <v>1185</v>
      </c>
      <c r="J84" s="315" t="s">
        <v>1063</v>
      </c>
      <c r="K84" s="316" t="s">
        <v>1748</v>
      </c>
    </row>
    <row r="85" spans="1:11" s="315" customFormat="1">
      <c r="A85" s="315" t="s">
        <v>1733</v>
      </c>
      <c r="B85" s="304" t="s">
        <v>1736</v>
      </c>
      <c r="C85" s="315" t="s">
        <v>44</v>
      </c>
      <c r="D85" s="315" t="s">
        <v>243</v>
      </c>
      <c r="E85" s="316" t="s">
        <v>1738</v>
      </c>
      <c r="F85" s="315" t="s">
        <v>1742</v>
      </c>
      <c r="G85" s="315" t="s">
        <v>243</v>
      </c>
      <c r="H85" s="316" t="s">
        <v>1743</v>
      </c>
      <c r="I85" s="315" t="s">
        <v>1746</v>
      </c>
      <c r="J85" s="315" t="s">
        <v>243</v>
      </c>
      <c r="K85" s="316" t="s">
        <v>1749</v>
      </c>
    </row>
    <row r="86" spans="1:11" s="315" customFormat="1">
      <c r="A86" s="315" t="s">
        <v>1734</v>
      </c>
      <c r="B86" s="304" t="s">
        <v>1186</v>
      </c>
      <c r="C86" s="315" t="s">
        <v>1064</v>
      </c>
      <c r="D86" s="315" t="s">
        <v>1063</v>
      </c>
      <c r="E86" s="316" t="s">
        <v>1739</v>
      </c>
      <c r="F86" s="315" t="s">
        <v>1101</v>
      </c>
      <c r="G86" s="315" t="s">
        <v>1063</v>
      </c>
      <c r="H86" s="316" t="s">
        <v>1747</v>
      </c>
      <c r="I86" s="315" t="s">
        <v>1185</v>
      </c>
      <c r="J86" s="315" t="s">
        <v>1063</v>
      </c>
      <c r="K86" s="316" t="s">
        <v>1750</v>
      </c>
    </row>
    <row r="87" spans="1:11" s="315" customFormat="1">
      <c r="A87" s="315" t="s">
        <v>1188</v>
      </c>
      <c r="B87" s="304" t="s">
        <v>1186</v>
      </c>
      <c r="C87" s="315" t="s">
        <v>1064</v>
      </c>
      <c r="D87" s="315" t="s">
        <v>1063</v>
      </c>
      <c r="E87" s="316" t="s">
        <v>1740</v>
      </c>
      <c r="F87" s="315" t="s">
        <v>1101</v>
      </c>
      <c r="G87" s="315" t="s">
        <v>1063</v>
      </c>
      <c r="H87" s="316" t="s">
        <v>1187</v>
      </c>
      <c r="I87" s="315" t="s">
        <v>1185</v>
      </c>
      <c r="J87" s="315" t="s">
        <v>1063</v>
      </c>
      <c r="K87" s="316" t="s">
        <v>1751</v>
      </c>
    </row>
    <row r="88" spans="1:11" s="315" customFormat="1">
      <c r="A88" s="315" t="s">
        <v>1735</v>
      </c>
      <c r="B88" s="304" t="s">
        <v>1186</v>
      </c>
      <c r="C88" s="315" t="s">
        <v>1064</v>
      </c>
      <c r="D88" s="315" t="s">
        <v>1063</v>
      </c>
      <c r="E88" s="316" t="s">
        <v>1741</v>
      </c>
      <c r="F88" s="315" t="s">
        <v>1101</v>
      </c>
      <c r="G88" s="315" t="s">
        <v>1063</v>
      </c>
      <c r="H88" s="316" t="s">
        <v>1744</v>
      </c>
      <c r="I88" s="315" t="s">
        <v>1185</v>
      </c>
      <c r="J88" s="315" t="s">
        <v>1063</v>
      </c>
      <c r="K88" s="316" t="s">
        <v>1752</v>
      </c>
    </row>
    <row r="89" spans="1:11" s="312" customFormat="1">
      <c r="A89" s="314" t="s">
        <v>1184</v>
      </c>
      <c r="B89" s="304" t="s">
        <v>1166</v>
      </c>
      <c r="C89" s="312" t="s">
        <v>1064</v>
      </c>
      <c r="D89" s="312" t="s">
        <v>1063</v>
      </c>
      <c r="E89" s="313" t="s">
        <v>1183</v>
      </c>
      <c r="F89" s="312" t="s">
        <v>1101</v>
      </c>
      <c r="G89" s="312" t="s">
        <v>1063</v>
      </c>
      <c r="H89" s="313" t="s">
        <v>1152</v>
      </c>
      <c r="K89" s="313"/>
    </row>
    <row r="90" spans="1:11" s="312" customFormat="1">
      <c r="A90" s="314" t="s">
        <v>1182</v>
      </c>
      <c r="B90" s="304" t="s">
        <v>1166</v>
      </c>
      <c r="C90" s="312" t="s">
        <v>1064</v>
      </c>
      <c r="D90" s="312" t="s">
        <v>1063</v>
      </c>
      <c r="E90" s="313" t="s">
        <v>1181</v>
      </c>
      <c r="F90" s="312" t="s">
        <v>1101</v>
      </c>
      <c r="G90" s="312" t="s">
        <v>1063</v>
      </c>
      <c r="H90" s="313" t="s">
        <v>1152</v>
      </c>
      <c r="K90" s="313"/>
    </row>
    <row r="91" spans="1:11" s="312" customFormat="1">
      <c r="A91" s="314" t="s">
        <v>1180</v>
      </c>
      <c r="B91" s="304" t="s">
        <v>1166</v>
      </c>
      <c r="C91" s="312" t="s">
        <v>1064</v>
      </c>
      <c r="D91" s="312" t="s">
        <v>1063</v>
      </c>
      <c r="E91" s="313" t="s">
        <v>1179</v>
      </c>
      <c r="F91" s="312" t="s">
        <v>1101</v>
      </c>
      <c r="G91" s="312" t="s">
        <v>1063</v>
      </c>
      <c r="H91" s="313" t="s">
        <v>1152</v>
      </c>
      <c r="K91" s="313"/>
    </row>
    <row r="92" spans="1:11" s="312" customFormat="1">
      <c r="A92" s="314" t="s">
        <v>1178</v>
      </c>
      <c r="B92" s="304" t="s">
        <v>1166</v>
      </c>
      <c r="C92" s="312" t="s">
        <v>1064</v>
      </c>
      <c r="D92" s="312" t="s">
        <v>1063</v>
      </c>
      <c r="E92" s="313" t="s">
        <v>1177</v>
      </c>
      <c r="F92" s="312" t="s">
        <v>1101</v>
      </c>
      <c r="G92" s="312" t="s">
        <v>1063</v>
      </c>
      <c r="H92" s="313" t="s">
        <v>1152</v>
      </c>
      <c r="K92" s="313"/>
    </row>
    <row r="93" spans="1:11" s="312" customFormat="1">
      <c r="A93" s="314" t="s">
        <v>1176</v>
      </c>
      <c r="B93" s="304" t="s">
        <v>1166</v>
      </c>
      <c r="C93" s="312" t="s">
        <v>1064</v>
      </c>
      <c r="D93" s="312" t="s">
        <v>1063</v>
      </c>
      <c r="E93" s="313" t="s">
        <v>412</v>
      </c>
      <c r="F93" s="312" t="s">
        <v>1101</v>
      </c>
      <c r="G93" s="312" t="s">
        <v>1063</v>
      </c>
      <c r="H93" s="313" t="s">
        <v>1152</v>
      </c>
      <c r="K93" s="313"/>
    </row>
    <row r="94" spans="1:11" s="312" customFormat="1">
      <c r="A94" s="314" t="s">
        <v>1175</v>
      </c>
      <c r="B94" s="304" t="s">
        <v>1166</v>
      </c>
      <c r="C94" s="312" t="s">
        <v>1064</v>
      </c>
      <c r="D94" s="312" t="s">
        <v>1063</v>
      </c>
      <c r="E94" s="313" t="s">
        <v>1174</v>
      </c>
      <c r="F94" s="312" t="s">
        <v>1101</v>
      </c>
      <c r="G94" s="312" t="s">
        <v>1063</v>
      </c>
      <c r="H94" s="313" t="s">
        <v>1152</v>
      </c>
      <c r="K94" s="313"/>
    </row>
    <row r="95" spans="1:11" s="312" customFormat="1">
      <c r="A95" s="314" t="s">
        <v>1173</v>
      </c>
      <c r="B95" s="304" t="s">
        <v>1166</v>
      </c>
      <c r="C95" s="312" t="s">
        <v>1064</v>
      </c>
      <c r="D95" s="312" t="s">
        <v>1063</v>
      </c>
      <c r="E95" s="313" t="s">
        <v>1106</v>
      </c>
      <c r="F95" s="312" t="s">
        <v>1101</v>
      </c>
      <c r="G95" s="312" t="s">
        <v>1063</v>
      </c>
      <c r="H95" s="313" t="s">
        <v>1152</v>
      </c>
      <c r="K95" s="313"/>
    </row>
    <row r="96" spans="1:11" s="312" customFormat="1">
      <c r="A96" s="314" t="s">
        <v>1172</v>
      </c>
      <c r="B96" s="304" t="s">
        <v>1166</v>
      </c>
      <c r="C96" s="312" t="s">
        <v>1064</v>
      </c>
      <c r="D96" s="312" t="s">
        <v>1063</v>
      </c>
      <c r="E96" s="313" t="s">
        <v>1171</v>
      </c>
      <c r="F96" s="312" t="s">
        <v>1101</v>
      </c>
      <c r="G96" s="312" t="s">
        <v>1063</v>
      </c>
      <c r="H96" s="313" t="s">
        <v>1152</v>
      </c>
      <c r="K96" s="313"/>
    </row>
    <row r="97" spans="1:11" s="312" customFormat="1">
      <c r="A97" s="314" t="s">
        <v>1170</v>
      </c>
      <c r="B97" s="304" t="s">
        <v>1166</v>
      </c>
      <c r="C97" s="312" t="s">
        <v>1064</v>
      </c>
      <c r="D97" s="312" t="s">
        <v>1063</v>
      </c>
      <c r="E97" s="313" t="s">
        <v>1169</v>
      </c>
      <c r="F97" s="312" t="s">
        <v>1101</v>
      </c>
      <c r="G97" s="312" t="s">
        <v>1063</v>
      </c>
      <c r="H97" s="313" t="s">
        <v>1152</v>
      </c>
      <c r="K97" s="313"/>
    </row>
    <row r="98" spans="1:11" s="312" customFormat="1">
      <c r="A98" s="314" t="s">
        <v>1168</v>
      </c>
      <c r="B98" s="304" t="s">
        <v>1166</v>
      </c>
      <c r="C98" s="312" t="s">
        <v>1064</v>
      </c>
      <c r="D98" s="312" t="s">
        <v>1063</v>
      </c>
      <c r="E98" s="313" t="s">
        <v>845</v>
      </c>
      <c r="F98" s="312" t="s">
        <v>1101</v>
      </c>
      <c r="G98" s="312" t="s">
        <v>1063</v>
      </c>
      <c r="H98" s="313" t="s">
        <v>1152</v>
      </c>
      <c r="K98" s="313"/>
    </row>
    <row r="99" spans="1:11" s="312" customFormat="1">
      <c r="A99" s="314" t="s">
        <v>1167</v>
      </c>
      <c r="B99" s="304" t="s">
        <v>1166</v>
      </c>
      <c r="C99" s="312" t="s">
        <v>1064</v>
      </c>
      <c r="D99" s="312" t="s">
        <v>1063</v>
      </c>
      <c r="E99" s="313" t="s">
        <v>843</v>
      </c>
      <c r="F99" s="312" t="s">
        <v>1101</v>
      </c>
      <c r="G99" s="312" t="s">
        <v>1063</v>
      </c>
      <c r="H99" s="313" t="s">
        <v>1152</v>
      </c>
      <c r="K99" s="313"/>
    </row>
    <row r="100" spans="1:11" s="305" customFormat="1">
      <c r="A100" s="311" t="s">
        <v>1165</v>
      </c>
      <c r="B100" s="304" t="s">
        <v>1154</v>
      </c>
      <c r="C100" s="305" t="s">
        <v>1064</v>
      </c>
      <c r="D100" s="305" t="s">
        <v>1063</v>
      </c>
      <c r="E100" s="306" t="s">
        <v>1164</v>
      </c>
      <c r="F100" s="305" t="s">
        <v>1101</v>
      </c>
      <c r="G100" s="305" t="s">
        <v>1063</v>
      </c>
      <c r="H100" s="306" t="s">
        <v>1152</v>
      </c>
      <c r="K100" s="306"/>
    </row>
    <row r="101" spans="1:11" s="305" customFormat="1">
      <c r="A101" s="311" t="s">
        <v>1163</v>
      </c>
      <c r="B101" s="304" t="s">
        <v>1154</v>
      </c>
      <c r="C101" s="305" t="s">
        <v>1064</v>
      </c>
      <c r="D101" s="305" t="s">
        <v>1063</v>
      </c>
      <c r="E101" s="306" t="s">
        <v>1162</v>
      </c>
      <c r="F101" s="305" t="s">
        <v>1101</v>
      </c>
      <c r="G101" s="305" t="s">
        <v>1063</v>
      </c>
      <c r="H101" s="306" t="s">
        <v>1152</v>
      </c>
      <c r="K101" s="306"/>
    </row>
    <row r="102" spans="1:11" s="305" customFormat="1">
      <c r="A102" s="311" t="s">
        <v>1161</v>
      </c>
      <c r="B102" s="304" t="s">
        <v>1154</v>
      </c>
      <c r="C102" s="305" t="s">
        <v>1064</v>
      </c>
      <c r="D102" s="305" t="s">
        <v>1063</v>
      </c>
      <c r="E102" s="306" t="s">
        <v>1160</v>
      </c>
      <c r="F102" s="305" t="s">
        <v>1101</v>
      </c>
      <c r="G102" s="305" t="s">
        <v>1063</v>
      </c>
      <c r="H102" s="306" t="s">
        <v>1152</v>
      </c>
      <c r="K102" s="306"/>
    </row>
    <row r="103" spans="1:11" s="305" customFormat="1">
      <c r="A103" s="311" t="s">
        <v>1159</v>
      </c>
      <c r="B103" s="304" t="s">
        <v>1154</v>
      </c>
      <c r="C103" s="305" t="s">
        <v>1064</v>
      </c>
      <c r="D103" s="305" t="s">
        <v>1063</v>
      </c>
      <c r="E103" s="306" t="s">
        <v>1158</v>
      </c>
      <c r="F103" s="305" t="s">
        <v>1101</v>
      </c>
      <c r="G103" s="305" t="s">
        <v>1063</v>
      </c>
      <c r="H103" s="306" t="s">
        <v>1152</v>
      </c>
      <c r="K103" s="306"/>
    </row>
    <row r="104" spans="1:11" s="305" customFormat="1">
      <c r="A104" s="311" t="s">
        <v>1157</v>
      </c>
      <c r="B104" s="304" t="s">
        <v>1154</v>
      </c>
      <c r="C104" s="305" t="s">
        <v>1064</v>
      </c>
      <c r="D104" s="305" t="s">
        <v>1063</v>
      </c>
      <c r="E104" s="306" t="s">
        <v>1156</v>
      </c>
      <c r="F104" s="305" t="s">
        <v>1101</v>
      </c>
      <c r="G104" s="305" t="s">
        <v>1063</v>
      </c>
      <c r="H104" s="306" t="s">
        <v>1152</v>
      </c>
      <c r="K104" s="306"/>
    </row>
    <row r="105" spans="1:11" s="305" customFormat="1">
      <c r="A105" s="311" t="s">
        <v>1155</v>
      </c>
      <c r="B105" s="304" t="s">
        <v>1154</v>
      </c>
      <c r="C105" s="305" t="s">
        <v>1064</v>
      </c>
      <c r="D105" s="305" t="s">
        <v>1063</v>
      </c>
      <c r="E105" s="306" t="s">
        <v>1153</v>
      </c>
      <c r="F105" s="305" t="s">
        <v>1101</v>
      </c>
      <c r="G105" s="305" t="s">
        <v>1063</v>
      </c>
      <c r="H105" s="306" t="s">
        <v>1152</v>
      </c>
      <c r="K105" s="306"/>
    </row>
    <row r="106" spans="1:11" s="308" customFormat="1">
      <c r="A106" s="310" t="s">
        <v>1151</v>
      </c>
      <c r="B106" s="304" t="s">
        <v>1103</v>
      </c>
      <c r="C106" s="308" t="s">
        <v>1064</v>
      </c>
      <c r="D106" s="308" t="s">
        <v>1063</v>
      </c>
      <c r="E106" s="309" t="s">
        <v>1150</v>
      </c>
      <c r="F106" s="308" t="s">
        <v>1101</v>
      </c>
      <c r="G106" s="308" t="s">
        <v>1063</v>
      </c>
      <c r="H106" s="309" t="s">
        <v>1100</v>
      </c>
      <c r="K106" s="309"/>
    </row>
    <row r="107" spans="1:11" s="308" customFormat="1">
      <c r="A107" s="310" t="s">
        <v>1149</v>
      </c>
      <c r="B107" s="304" t="s">
        <v>1103</v>
      </c>
      <c r="C107" s="308" t="s">
        <v>1064</v>
      </c>
      <c r="D107" s="308" t="s">
        <v>1063</v>
      </c>
      <c r="E107" s="309" t="s">
        <v>1148</v>
      </c>
      <c r="F107" s="308" t="s">
        <v>1101</v>
      </c>
      <c r="G107" s="308" t="s">
        <v>1063</v>
      </c>
      <c r="H107" s="309" t="s">
        <v>1100</v>
      </c>
      <c r="K107" s="309"/>
    </row>
    <row r="108" spans="1:11" s="308" customFormat="1">
      <c r="A108" s="310" t="s">
        <v>1147</v>
      </c>
      <c r="B108" s="304" t="s">
        <v>1103</v>
      </c>
      <c r="C108" s="308" t="s">
        <v>1064</v>
      </c>
      <c r="D108" s="308" t="s">
        <v>1063</v>
      </c>
      <c r="E108" s="309" t="s">
        <v>1146</v>
      </c>
      <c r="F108" s="308" t="s">
        <v>1101</v>
      </c>
      <c r="G108" s="308" t="s">
        <v>1063</v>
      </c>
      <c r="H108" s="309" t="s">
        <v>1100</v>
      </c>
      <c r="K108" s="309"/>
    </row>
    <row r="109" spans="1:11" s="308" customFormat="1">
      <c r="A109" s="310" t="s">
        <v>1145</v>
      </c>
      <c r="B109" s="304" t="s">
        <v>1103</v>
      </c>
      <c r="C109" s="308" t="s">
        <v>1064</v>
      </c>
      <c r="D109" s="308" t="s">
        <v>1063</v>
      </c>
      <c r="E109" s="309" t="s">
        <v>1144</v>
      </c>
      <c r="F109" s="308" t="s">
        <v>1101</v>
      </c>
      <c r="G109" s="308" t="s">
        <v>1063</v>
      </c>
      <c r="H109" s="309" t="s">
        <v>1100</v>
      </c>
      <c r="K109" s="309"/>
    </row>
    <row r="110" spans="1:11" s="308" customFormat="1">
      <c r="A110" s="310" t="s">
        <v>1143</v>
      </c>
      <c r="B110" s="304" t="s">
        <v>1103</v>
      </c>
      <c r="C110" s="308" t="s">
        <v>1064</v>
      </c>
      <c r="D110" s="308" t="s">
        <v>1063</v>
      </c>
      <c r="E110" s="309" t="s">
        <v>1142</v>
      </c>
      <c r="F110" s="308" t="s">
        <v>1101</v>
      </c>
      <c r="G110" s="308" t="s">
        <v>1063</v>
      </c>
      <c r="H110" s="309" t="s">
        <v>1100</v>
      </c>
      <c r="K110" s="309"/>
    </row>
    <row r="111" spans="1:11" s="308" customFormat="1">
      <c r="A111" s="310" t="s">
        <v>1141</v>
      </c>
      <c r="B111" s="304" t="s">
        <v>1103</v>
      </c>
      <c r="C111" s="308" t="s">
        <v>1064</v>
      </c>
      <c r="D111" s="308" t="s">
        <v>1063</v>
      </c>
      <c r="E111" s="309" t="s">
        <v>1140</v>
      </c>
      <c r="F111" s="308" t="s">
        <v>1101</v>
      </c>
      <c r="G111" s="308" t="s">
        <v>1063</v>
      </c>
      <c r="H111" s="309" t="s">
        <v>1100</v>
      </c>
      <c r="K111" s="309"/>
    </row>
    <row r="112" spans="1:11" s="308" customFormat="1">
      <c r="A112" s="310" t="s">
        <v>1139</v>
      </c>
      <c r="B112" s="304" t="s">
        <v>1103</v>
      </c>
      <c r="C112" s="308" t="s">
        <v>1064</v>
      </c>
      <c r="D112" s="308" t="s">
        <v>1063</v>
      </c>
      <c r="E112" s="309" t="s">
        <v>1138</v>
      </c>
      <c r="F112" s="308" t="s">
        <v>1101</v>
      </c>
      <c r="G112" s="308" t="s">
        <v>1063</v>
      </c>
      <c r="H112" s="309" t="s">
        <v>1100</v>
      </c>
      <c r="K112" s="309"/>
    </row>
    <row r="113" spans="1:11" s="308" customFormat="1">
      <c r="A113" s="310" t="s">
        <v>1137</v>
      </c>
      <c r="B113" s="304" t="s">
        <v>1103</v>
      </c>
      <c r="C113" s="308" t="s">
        <v>1064</v>
      </c>
      <c r="D113" s="308" t="s">
        <v>1063</v>
      </c>
      <c r="E113" s="309" t="s">
        <v>1136</v>
      </c>
      <c r="F113" s="308" t="s">
        <v>1101</v>
      </c>
      <c r="G113" s="308" t="s">
        <v>1063</v>
      </c>
      <c r="H113" s="309" t="s">
        <v>1100</v>
      </c>
      <c r="K113" s="309"/>
    </row>
    <row r="114" spans="1:11" s="308" customFormat="1">
      <c r="A114" s="310" t="s">
        <v>1135</v>
      </c>
      <c r="B114" s="304" t="s">
        <v>1103</v>
      </c>
      <c r="C114" s="308" t="s">
        <v>1064</v>
      </c>
      <c r="D114" s="308" t="s">
        <v>1063</v>
      </c>
      <c r="E114" s="309" t="s">
        <v>1134</v>
      </c>
      <c r="F114" s="308" t="s">
        <v>1101</v>
      </c>
      <c r="G114" s="308" t="s">
        <v>1063</v>
      </c>
      <c r="H114" s="309" t="s">
        <v>1100</v>
      </c>
      <c r="K114" s="309"/>
    </row>
    <row r="115" spans="1:11" s="308" customFormat="1">
      <c r="A115" s="310" t="s">
        <v>1133</v>
      </c>
      <c r="B115" s="304" t="s">
        <v>1103</v>
      </c>
      <c r="C115" s="308" t="s">
        <v>1064</v>
      </c>
      <c r="D115" s="308" t="s">
        <v>1063</v>
      </c>
      <c r="E115" s="309" t="s">
        <v>1132</v>
      </c>
      <c r="F115" s="308" t="s">
        <v>1101</v>
      </c>
      <c r="G115" s="308" t="s">
        <v>1063</v>
      </c>
      <c r="H115" s="309" t="s">
        <v>1100</v>
      </c>
      <c r="K115" s="309"/>
    </row>
    <row r="116" spans="1:11" s="308" customFormat="1">
      <c r="A116" s="310" t="s">
        <v>1131</v>
      </c>
      <c r="B116" s="304" t="s">
        <v>1103</v>
      </c>
      <c r="C116" s="308" t="s">
        <v>1064</v>
      </c>
      <c r="D116" s="308" t="s">
        <v>1063</v>
      </c>
      <c r="E116" s="309" t="s">
        <v>1130</v>
      </c>
      <c r="F116" s="308" t="s">
        <v>1101</v>
      </c>
      <c r="G116" s="308" t="s">
        <v>1063</v>
      </c>
      <c r="H116" s="309" t="s">
        <v>1100</v>
      </c>
      <c r="K116" s="309"/>
    </row>
    <row r="117" spans="1:11" s="308" customFormat="1">
      <c r="A117" s="310" t="s">
        <v>1129</v>
      </c>
      <c r="B117" s="304" t="s">
        <v>1103</v>
      </c>
      <c r="C117" s="308" t="s">
        <v>1064</v>
      </c>
      <c r="D117" s="308" t="s">
        <v>1063</v>
      </c>
      <c r="E117" s="309" t="s">
        <v>1128</v>
      </c>
      <c r="F117" s="308" t="s">
        <v>1101</v>
      </c>
      <c r="G117" s="308" t="s">
        <v>1063</v>
      </c>
      <c r="H117" s="309" t="s">
        <v>1100</v>
      </c>
      <c r="K117" s="309"/>
    </row>
    <row r="118" spans="1:11" s="308" customFormat="1">
      <c r="A118" s="308" t="s">
        <v>1127</v>
      </c>
      <c r="B118" s="304" t="s">
        <v>1103</v>
      </c>
      <c r="C118" s="308" t="s">
        <v>1064</v>
      </c>
      <c r="D118" s="308" t="s">
        <v>1063</v>
      </c>
      <c r="E118" s="309" t="s">
        <v>1126</v>
      </c>
      <c r="F118" s="308" t="s">
        <v>1101</v>
      </c>
      <c r="G118" s="308" t="s">
        <v>1063</v>
      </c>
      <c r="H118" s="309" t="s">
        <v>1100</v>
      </c>
      <c r="K118" s="309"/>
    </row>
    <row r="119" spans="1:11" s="308" customFormat="1">
      <c r="A119" s="308" t="s">
        <v>1125</v>
      </c>
      <c r="B119" s="304" t="s">
        <v>1103</v>
      </c>
      <c r="C119" s="308" t="s">
        <v>1064</v>
      </c>
      <c r="D119" s="308" t="s">
        <v>1063</v>
      </c>
      <c r="E119" s="309" t="s">
        <v>1124</v>
      </c>
      <c r="F119" s="308" t="s">
        <v>1101</v>
      </c>
      <c r="G119" s="308" t="s">
        <v>1063</v>
      </c>
      <c r="H119" s="309" t="s">
        <v>1100</v>
      </c>
      <c r="K119" s="309"/>
    </row>
    <row r="120" spans="1:11" s="308" customFormat="1">
      <c r="A120" s="308" t="s">
        <v>1123</v>
      </c>
      <c r="B120" s="304" t="s">
        <v>1103</v>
      </c>
      <c r="C120" s="308" t="s">
        <v>1064</v>
      </c>
      <c r="D120" s="308" t="s">
        <v>1063</v>
      </c>
      <c r="E120" s="309" t="s">
        <v>1122</v>
      </c>
      <c r="F120" s="308" t="s">
        <v>1101</v>
      </c>
      <c r="G120" s="308" t="s">
        <v>1063</v>
      </c>
      <c r="H120" s="309" t="s">
        <v>1100</v>
      </c>
      <c r="K120" s="309"/>
    </row>
    <row r="121" spans="1:11" s="308" customFormat="1">
      <c r="A121" s="308" t="s">
        <v>1121</v>
      </c>
      <c r="B121" s="304" t="s">
        <v>1103</v>
      </c>
      <c r="C121" s="308" t="s">
        <v>1064</v>
      </c>
      <c r="D121" s="308" t="s">
        <v>1063</v>
      </c>
      <c r="E121" s="309" t="s">
        <v>1120</v>
      </c>
      <c r="F121" s="308" t="s">
        <v>1101</v>
      </c>
      <c r="G121" s="308" t="s">
        <v>1063</v>
      </c>
      <c r="H121" s="309" t="s">
        <v>1100</v>
      </c>
      <c r="K121" s="309"/>
    </row>
    <row r="122" spans="1:11" s="308" customFormat="1">
      <c r="A122" s="308" t="s">
        <v>1119</v>
      </c>
      <c r="B122" s="304" t="s">
        <v>1103</v>
      </c>
      <c r="C122" s="308" t="s">
        <v>1064</v>
      </c>
      <c r="D122" s="308" t="s">
        <v>1063</v>
      </c>
      <c r="E122" s="309" t="s">
        <v>1118</v>
      </c>
      <c r="F122" s="308" t="s">
        <v>1101</v>
      </c>
      <c r="G122" s="308" t="s">
        <v>1063</v>
      </c>
      <c r="H122" s="309" t="s">
        <v>1100</v>
      </c>
      <c r="K122" s="309"/>
    </row>
    <row r="123" spans="1:11" s="308" customFormat="1">
      <c r="A123" s="308" t="s">
        <v>1117</v>
      </c>
      <c r="B123" s="304" t="s">
        <v>1103</v>
      </c>
      <c r="C123" s="308" t="s">
        <v>1064</v>
      </c>
      <c r="D123" s="308" t="s">
        <v>1063</v>
      </c>
      <c r="E123" s="309" t="s">
        <v>1116</v>
      </c>
      <c r="F123" s="308" t="s">
        <v>1101</v>
      </c>
      <c r="G123" s="308" t="s">
        <v>1063</v>
      </c>
      <c r="H123" s="309" t="s">
        <v>1100</v>
      </c>
      <c r="K123" s="309"/>
    </row>
    <row r="124" spans="1:11" s="308" customFormat="1">
      <c r="A124" s="308" t="s">
        <v>1115</v>
      </c>
      <c r="B124" s="304" t="s">
        <v>1103</v>
      </c>
      <c r="C124" s="308" t="s">
        <v>1064</v>
      </c>
      <c r="D124" s="308" t="s">
        <v>1063</v>
      </c>
      <c r="E124" s="309" t="s">
        <v>1114</v>
      </c>
      <c r="F124" s="308" t="s">
        <v>1101</v>
      </c>
      <c r="G124" s="308" t="s">
        <v>1063</v>
      </c>
      <c r="H124" s="309" t="s">
        <v>1100</v>
      </c>
      <c r="K124" s="309"/>
    </row>
    <row r="125" spans="1:11" s="308" customFormat="1">
      <c r="A125" s="308" t="s">
        <v>1113</v>
      </c>
      <c r="B125" s="304" t="s">
        <v>1103</v>
      </c>
      <c r="C125" s="308" t="s">
        <v>1064</v>
      </c>
      <c r="D125" s="308" t="s">
        <v>1063</v>
      </c>
      <c r="E125" s="309" t="s">
        <v>1112</v>
      </c>
      <c r="F125" s="308" t="s">
        <v>1101</v>
      </c>
      <c r="G125" s="308" t="s">
        <v>1063</v>
      </c>
      <c r="H125" s="309" t="s">
        <v>1100</v>
      </c>
      <c r="K125" s="309"/>
    </row>
    <row r="126" spans="1:11" s="308" customFormat="1">
      <c r="A126" s="308" t="s">
        <v>1111</v>
      </c>
      <c r="B126" s="304" t="s">
        <v>1103</v>
      </c>
      <c r="C126" s="308" t="s">
        <v>1064</v>
      </c>
      <c r="D126" s="308" t="s">
        <v>1063</v>
      </c>
      <c r="E126" s="309" t="s">
        <v>1110</v>
      </c>
      <c r="F126" s="308" t="s">
        <v>1101</v>
      </c>
      <c r="G126" s="308" t="s">
        <v>1063</v>
      </c>
      <c r="H126" s="309" t="s">
        <v>1100</v>
      </c>
      <c r="K126" s="309"/>
    </row>
    <row r="127" spans="1:11" s="308" customFormat="1">
      <c r="A127" s="308" t="s">
        <v>1109</v>
      </c>
      <c r="B127" s="304" t="s">
        <v>1103</v>
      </c>
      <c r="C127" s="308" t="s">
        <v>1064</v>
      </c>
      <c r="D127" s="308" t="s">
        <v>1063</v>
      </c>
      <c r="E127" s="309" t="s">
        <v>1108</v>
      </c>
      <c r="F127" s="308" t="s">
        <v>1101</v>
      </c>
      <c r="G127" s="308" t="s">
        <v>1063</v>
      </c>
      <c r="H127" s="309" t="s">
        <v>1100</v>
      </c>
      <c r="K127" s="309"/>
    </row>
    <row r="128" spans="1:11" s="308" customFormat="1">
      <c r="A128" s="308" t="s">
        <v>1107</v>
      </c>
      <c r="B128" s="304" t="s">
        <v>1103</v>
      </c>
      <c r="C128" s="308" t="s">
        <v>1064</v>
      </c>
      <c r="D128" s="308" t="s">
        <v>1063</v>
      </c>
      <c r="E128" s="309" t="s">
        <v>1106</v>
      </c>
      <c r="F128" s="308" t="s">
        <v>1101</v>
      </c>
      <c r="G128" s="308" t="s">
        <v>1063</v>
      </c>
      <c r="H128" s="309" t="s">
        <v>1100</v>
      </c>
      <c r="K128" s="309"/>
    </row>
    <row r="129" spans="1:11" s="308" customFormat="1">
      <c r="A129" s="308" t="s">
        <v>1105</v>
      </c>
      <c r="B129" s="304" t="s">
        <v>1103</v>
      </c>
      <c r="C129" s="308" t="s">
        <v>1064</v>
      </c>
      <c r="D129" s="308" t="s">
        <v>1063</v>
      </c>
      <c r="E129" s="309" t="s">
        <v>411</v>
      </c>
      <c r="F129" s="308" t="s">
        <v>1101</v>
      </c>
      <c r="G129" s="308" t="s">
        <v>1063</v>
      </c>
      <c r="H129" s="309" t="s">
        <v>1100</v>
      </c>
      <c r="K129" s="309"/>
    </row>
    <row r="130" spans="1:11" s="308" customFormat="1">
      <c r="A130" s="308" t="s">
        <v>1104</v>
      </c>
      <c r="B130" s="304" t="s">
        <v>1103</v>
      </c>
      <c r="C130" s="308" t="s">
        <v>1064</v>
      </c>
      <c r="D130" s="308" t="s">
        <v>1063</v>
      </c>
      <c r="E130" s="309" t="s">
        <v>1102</v>
      </c>
      <c r="F130" s="308" t="s">
        <v>1101</v>
      </c>
      <c r="G130" s="308" t="s">
        <v>1063</v>
      </c>
      <c r="H130" s="309" t="s">
        <v>1100</v>
      </c>
      <c r="K130" s="309"/>
    </row>
    <row r="131" spans="1:11" s="305" customFormat="1">
      <c r="A131" s="307" t="s">
        <v>1099</v>
      </c>
      <c r="B131" s="304" t="s">
        <v>1065</v>
      </c>
      <c r="C131" s="305" t="s">
        <v>1064</v>
      </c>
      <c r="D131" s="305" t="s">
        <v>1063</v>
      </c>
      <c r="E131" s="306" t="s">
        <v>1098</v>
      </c>
      <c r="F131" s="305" t="s">
        <v>1061</v>
      </c>
      <c r="G131" s="305" t="s">
        <v>1060</v>
      </c>
      <c r="H131" s="306" t="s">
        <v>1097</v>
      </c>
      <c r="K131" s="306"/>
    </row>
    <row r="132" spans="1:11" s="305" customFormat="1">
      <c r="A132" s="307" t="s">
        <v>1096</v>
      </c>
      <c r="B132" s="304" t="s">
        <v>1065</v>
      </c>
      <c r="C132" s="305" t="s">
        <v>1064</v>
      </c>
      <c r="D132" s="305" t="s">
        <v>1063</v>
      </c>
      <c r="E132" s="306" t="s">
        <v>1095</v>
      </c>
      <c r="F132" s="305" t="s">
        <v>1061</v>
      </c>
      <c r="G132" s="305" t="s">
        <v>1060</v>
      </c>
      <c r="H132" s="306" t="s">
        <v>1094</v>
      </c>
      <c r="K132" s="306"/>
    </row>
    <row r="133" spans="1:11" s="305" customFormat="1">
      <c r="A133" s="307" t="s">
        <v>1093</v>
      </c>
      <c r="B133" s="304" t="s">
        <v>1065</v>
      </c>
      <c r="C133" s="305" t="s">
        <v>1064</v>
      </c>
      <c r="D133" s="305" t="s">
        <v>1063</v>
      </c>
      <c r="E133" s="306" t="s">
        <v>1092</v>
      </c>
      <c r="F133" s="305" t="s">
        <v>1061</v>
      </c>
      <c r="G133" s="305" t="s">
        <v>1060</v>
      </c>
      <c r="H133" s="306" t="s">
        <v>1091</v>
      </c>
      <c r="K133" s="306"/>
    </row>
    <row r="134" spans="1:11" s="305" customFormat="1">
      <c r="A134" s="307" t="s">
        <v>1090</v>
      </c>
      <c r="B134" s="304" t="s">
        <v>1065</v>
      </c>
      <c r="C134" s="305" t="s">
        <v>1064</v>
      </c>
      <c r="D134" s="305" t="s">
        <v>1063</v>
      </c>
      <c r="E134" s="306" t="s">
        <v>1089</v>
      </c>
      <c r="F134" s="305" t="s">
        <v>1061</v>
      </c>
      <c r="G134" s="305" t="s">
        <v>1060</v>
      </c>
      <c r="H134" s="306" t="s">
        <v>1088</v>
      </c>
      <c r="K134" s="306"/>
    </row>
    <row r="135" spans="1:11" s="305" customFormat="1">
      <c r="A135" s="307" t="s">
        <v>1087</v>
      </c>
      <c r="B135" s="304" t="s">
        <v>1065</v>
      </c>
      <c r="C135" s="305" t="s">
        <v>1064</v>
      </c>
      <c r="D135" s="305" t="s">
        <v>1063</v>
      </c>
      <c r="E135" s="306" t="s">
        <v>1086</v>
      </c>
      <c r="F135" s="305" t="s">
        <v>1061</v>
      </c>
      <c r="G135" s="305" t="s">
        <v>1060</v>
      </c>
      <c r="H135" s="306" t="s">
        <v>1085</v>
      </c>
      <c r="K135" s="306"/>
    </row>
    <row r="136" spans="1:11" s="305" customFormat="1">
      <c r="A136" s="307" t="s">
        <v>1084</v>
      </c>
      <c r="B136" s="304" t="s">
        <v>1065</v>
      </c>
      <c r="C136" s="305" t="s">
        <v>1064</v>
      </c>
      <c r="D136" s="305" t="s">
        <v>1063</v>
      </c>
      <c r="E136" s="306" t="s">
        <v>1083</v>
      </c>
      <c r="F136" s="305" t="s">
        <v>1061</v>
      </c>
      <c r="G136" s="305" t="s">
        <v>1060</v>
      </c>
      <c r="H136" s="306" t="s">
        <v>1082</v>
      </c>
      <c r="K136" s="306"/>
    </row>
    <row r="137" spans="1:11" s="305" customFormat="1">
      <c r="A137" s="307" t="s">
        <v>1081</v>
      </c>
      <c r="B137" s="304" t="s">
        <v>1065</v>
      </c>
      <c r="C137" s="305" t="s">
        <v>1064</v>
      </c>
      <c r="D137" s="305" t="s">
        <v>1063</v>
      </c>
      <c r="E137" s="306" t="s">
        <v>1080</v>
      </c>
      <c r="F137" s="305" t="s">
        <v>1061</v>
      </c>
      <c r="G137" s="305" t="s">
        <v>1060</v>
      </c>
      <c r="H137" s="306" t="s">
        <v>1079</v>
      </c>
      <c r="K137" s="306"/>
    </row>
    <row r="138" spans="1:11" s="305" customFormat="1">
      <c r="A138" s="307" t="s">
        <v>1078</v>
      </c>
      <c r="B138" s="304" t="s">
        <v>1065</v>
      </c>
      <c r="C138" s="305" t="s">
        <v>1064</v>
      </c>
      <c r="D138" s="305" t="s">
        <v>1063</v>
      </c>
      <c r="E138" s="306" t="s">
        <v>1077</v>
      </c>
      <c r="F138" s="305" t="s">
        <v>1061</v>
      </c>
      <c r="G138" s="305" t="s">
        <v>1060</v>
      </c>
      <c r="H138" s="306" t="s">
        <v>1076</v>
      </c>
      <c r="K138" s="306"/>
    </row>
    <row r="139" spans="1:11" s="305" customFormat="1">
      <c r="A139" s="307" t="s">
        <v>1075</v>
      </c>
      <c r="B139" s="304" t="s">
        <v>1065</v>
      </c>
      <c r="C139" s="305" t="s">
        <v>1064</v>
      </c>
      <c r="D139" s="305" t="s">
        <v>1063</v>
      </c>
      <c r="E139" s="306" t="s">
        <v>1074</v>
      </c>
      <c r="F139" s="305" t="s">
        <v>1061</v>
      </c>
      <c r="G139" s="305" t="s">
        <v>1060</v>
      </c>
      <c r="H139" s="306" t="s">
        <v>1073</v>
      </c>
      <c r="K139" s="306"/>
    </row>
    <row r="140" spans="1:11" s="305" customFormat="1">
      <c r="A140" s="307" t="s">
        <v>1072</v>
      </c>
      <c r="B140" s="304" t="s">
        <v>1065</v>
      </c>
      <c r="C140" s="305" t="s">
        <v>1064</v>
      </c>
      <c r="D140" s="305" t="s">
        <v>1063</v>
      </c>
      <c r="E140" s="306" t="s">
        <v>1071</v>
      </c>
      <c r="F140" s="305" t="s">
        <v>1061</v>
      </c>
      <c r="G140" s="305" t="s">
        <v>1060</v>
      </c>
      <c r="H140" s="306" t="s">
        <v>1070</v>
      </c>
      <c r="K140" s="306"/>
    </row>
    <row r="141" spans="1:11" s="305" customFormat="1">
      <c r="A141" s="307" t="s">
        <v>1069</v>
      </c>
      <c r="B141" s="304" t="s">
        <v>1065</v>
      </c>
      <c r="C141" s="305" t="s">
        <v>1064</v>
      </c>
      <c r="D141" s="305" t="s">
        <v>1063</v>
      </c>
      <c r="E141" s="306" t="s">
        <v>1068</v>
      </c>
      <c r="F141" s="305" t="s">
        <v>1061</v>
      </c>
      <c r="G141" s="305" t="s">
        <v>1060</v>
      </c>
      <c r="H141" s="306" t="s">
        <v>1067</v>
      </c>
      <c r="K141" s="306"/>
    </row>
    <row r="142" spans="1:11" s="305" customFormat="1">
      <c r="A142" s="307" t="s">
        <v>1066</v>
      </c>
      <c r="B142" s="304" t="s">
        <v>1065</v>
      </c>
      <c r="C142" s="305" t="s">
        <v>1064</v>
      </c>
      <c r="D142" s="305" t="s">
        <v>1063</v>
      </c>
      <c r="E142" s="306" t="s">
        <v>1062</v>
      </c>
      <c r="F142" s="305" t="s">
        <v>1061</v>
      </c>
      <c r="G142" s="305" t="s">
        <v>1060</v>
      </c>
      <c r="H142" s="306" t="s">
        <v>1059</v>
      </c>
      <c r="K142" s="306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D2F1B-AB5E-4B78-89E3-2949A771ABA0}">
  <dimension ref="A1:AO6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7" sqref="A1:AO25"/>
    </sheetView>
  </sheetViews>
  <sheetFormatPr defaultColWidth="9.125" defaultRowHeight="16.5"/>
  <cols>
    <col min="1" max="1" width="27.375" style="2" customWidth="1"/>
    <col min="2" max="2" width="11.25" style="2" customWidth="1"/>
    <col min="3" max="3" width="9.125" style="191"/>
    <col min="4" max="19" width="9.125" style="2"/>
    <col min="20" max="20" width="9.125" style="46"/>
    <col min="21" max="27" width="9.125" style="2"/>
    <col min="28" max="28" width="9.125" style="90"/>
    <col min="29" max="32" width="9.125" style="2"/>
    <col min="33" max="33" width="9.125" style="99"/>
    <col min="34" max="37" width="9.125" style="2"/>
    <col min="38" max="38" width="9.125" style="36"/>
    <col min="39" max="39" width="9.125" style="2"/>
    <col min="40" max="40" width="9.125" style="241"/>
    <col min="41" max="16384" width="9.125" style="2"/>
  </cols>
  <sheetData>
    <row r="1" spans="1:41" s="89" customFormat="1">
      <c r="A1" s="89" t="s">
        <v>240</v>
      </c>
      <c r="B1" s="89" t="s">
        <v>584</v>
      </c>
      <c r="C1" s="190" t="s">
        <v>486</v>
      </c>
      <c r="D1" s="89" t="s">
        <v>487</v>
      </c>
      <c r="E1" s="89" t="s">
        <v>488</v>
      </c>
      <c r="F1" s="89" t="s">
        <v>489</v>
      </c>
      <c r="G1" s="89" t="s">
        <v>490</v>
      </c>
      <c r="H1" s="89" t="s">
        <v>491</v>
      </c>
      <c r="I1" s="89" t="s">
        <v>492</v>
      </c>
      <c r="J1" s="89" t="s">
        <v>493</v>
      </c>
      <c r="K1" s="89" t="s">
        <v>494</v>
      </c>
      <c r="L1" s="89" t="s">
        <v>495</v>
      </c>
      <c r="M1" s="89" t="s">
        <v>496</v>
      </c>
      <c r="N1" s="89" t="s">
        <v>497</v>
      </c>
      <c r="O1" s="89" t="s">
        <v>498</v>
      </c>
      <c r="P1" s="89" t="s">
        <v>499</v>
      </c>
      <c r="Q1" s="89" t="s">
        <v>500</v>
      </c>
      <c r="R1" s="89" t="s">
        <v>501</v>
      </c>
      <c r="S1" s="89" t="s">
        <v>923</v>
      </c>
      <c r="T1" s="43" t="s">
        <v>502</v>
      </c>
      <c r="U1" s="8" t="s">
        <v>503</v>
      </c>
      <c r="V1" s="8" t="s">
        <v>537</v>
      </c>
      <c r="W1" s="8" t="s">
        <v>539</v>
      </c>
      <c r="X1" s="8" t="s">
        <v>541</v>
      </c>
      <c r="Y1" s="8" t="s">
        <v>543</v>
      </c>
      <c r="Z1" s="8" t="s">
        <v>545</v>
      </c>
      <c r="AA1" s="8" t="s">
        <v>711</v>
      </c>
      <c r="AB1" s="109" t="s">
        <v>552</v>
      </c>
      <c r="AC1" s="110" t="s">
        <v>555</v>
      </c>
      <c r="AD1" s="110" t="s">
        <v>557</v>
      </c>
      <c r="AE1" s="110" t="s">
        <v>561</v>
      </c>
      <c r="AF1" s="110" t="s">
        <v>563</v>
      </c>
      <c r="AG1" s="107" t="s">
        <v>566</v>
      </c>
      <c r="AH1" s="108" t="s">
        <v>569</v>
      </c>
      <c r="AI1" s="108" t="s">
        <v>572</v>
      </c>
      <c r="AJ1" s="108" t="s">
        <v>575</v>
      </c>
      <c r="AK1" s="108" t="s">
        <v>578</v>
      </c>
      <c r="AL1" s="33" t="s">
        <v>547</v>
      </c>
      <c r="AM1" s="7" t="s">
        <v>549</v>
      </c>
      <c r="AN1" s="237" t="s">
        <v>869</v>
      </c>
      <c r="AO1" s="9" t="s">
        <v>872</v>
      </c>
    </row>
    <row r="2" spans="1:41">
      <c r="A2" s="2" t="s">
        <v>44</v>
      </c>
      <c r="B2" s="2" t="s">
        <v>581</v>
      </c>
      <c r="C2" s="191" t="s">
        <v>504</v>
      </c>
      <c r="D2" s="2" t="s">
        <v>506</v>
      </c>
      <c r="E2" s="2" t="s">
        <v>508</v>
      </c>
      <c r="F2" s="2" t="s">
        <v>510</v>
      </c>
      <c r="G2" s="2" t="s">
        <v>512</v>
      </c>
      <c r="H2" s="2" t="s">
        <v>514</v>
      </c>
      <c r="I2" s="2" t="s">
        <v>516</v>
      </c>
      <c r="J2" s="2" t="s">
        <v>518</v>
      </c>
      <c r="K2" s="2" t="s">
        <v>519</v>
      </c>
      <c r="L2" s="2" t="s">
        <v>521</v>
      </c>
      <c r="M2" s="2" t="s">
        <v>524</v>
      </c>
      <c r="N2" s="2" t="s">
        <v>526</v>
      </c>
      <c r="O2" s="2" t="s">
        <v>527</v>
      </c>
      <c r="P2" s="2" t="s">
        <v>530</v>
      </c>
      <c r="Q2" s="2" t="s">
        <v>531</v>
      </c>
      <c r="R2" s="2" t="s">
        <v>533</v>
      </c>
      <c r="S2" s="2" t="s">
        <v>924</v>
      </c>
      <c r="T2" s="46" t="s">
        <v>535</v>
      </c>
      <c r="U2" s="2" t="s">
        <v>536</v>
      </c>
      <c r="V2" s="2" t="s">
        <v>538</v>
      </c>
      <c r="W2" s="2" t="s">
        <v>540</v>
      </c>
      <c r="X2" s="2" t="s">
        <v>542</v>
      </c>
      <c r="Y2" s="2" t="s">
        <v>544</v>
      </c>
      <c r="Z2" s="2" t="s">
        <v>546</v>
      </c>
      <c r="AA2" s="2" t="s">
        <v>712</v>
      </c>
      <c r="AB2" s="90" t="s">
        <v>553</v>
      </c>
      <c r="AC2" s="2" t="s">
        <v>556</v>
      </c>
      <c r="AD2" s="2" t="s">
        <v>558</v>
      </c>
      <c r="AE2" s="2" t="s">
        <v>560</v>
      </c>
      <c r="AF2" s="2" t="s">
        <v>565</v>
      </c>
      <c r="AG2" s="99" t="s">
        <v>567</v>
      </c>
      <c r="AH2" s="2" t="s">
        <v>570</v>
      </c>
      <c r="AI2" s="2" t="s">
        <v>573</v>
      </c>
      <c r="AJ2" s="2" t="s">
        <v>576</v>
      </c>
      <c r="AK2" s="2" t="s">
        <v>579</v>
      </c>
      <c r="AL2" s="36" t="s">
        <v>412</v>
      </c>
      <c r="AM2" s="2" t="s">
        <v>550</v>
      </c>
      <c r="AN2" s="241" t="s">
        <v>870</v>
      </c>
      <c r="AO2" s="2" t="s">
        <v>871</v>
      </c>
    </row>
    <row r="3" spans="1:41" s="85" customFormat="1">
      <c r="A3" s="85" t="s">
        <v>241</v>
      </c>
      <c r="B3" s="85" t="s">
        <v>253</v>
      </c>
      <c r="C3" s="192" t="s">
        <v>505</v>
      </c>
      <c r="D3" s="85" t="s">
        <v>507</v>
      </c>
      <c r="E3" s="85" t="s">
        <v>509</v>
      </c>
      <c r="F3" s="85" t="s">
        <v>511</v>
      </c>
      <c r="G3" s="85" t="s">
        <v>513</v>
      </c>
      <c r="H3" s="85" t="s">
        <v>515</v>
      </c>
      <c r="I3" s="21" t="s">
        <v>517</v>
      </c>
      <c r="J3" s="21" t="s">
        <v>1590</v>
      </c>
      <c r="K3" s="21" t="s">
        <v>520</v>
      </c>
      <c r="L3" s="21" t="s">
        <v>522</v>
      </c>
      <c r="M3" s="21" t="s">
        <v>523</v>
      </c>
      <c r="N3" s="21" t="s">
        <v>525</v>
      </c>
      <c r="O3" s="21" t="s">
        <v>528</v>
      </c>
      <c r="P3" s="21" t="s">
        <v>529</v>
      </c>
      <c r="Q3" s="21" t="s">
        <v>532</v>
      </c>
      <c r="R3" s="21" t="s">
        <v>534</v>
      </c>
      <c r="S3" s="21" t="s">
        <v>559</v>
      </c>
      <c r="T3" s="95" t="s">
        <v>313</v>
      </c>
      <c r="U3" s="21" t="s">
        <v>532</v>
      </c>
      <c r="V3" s="21" t="s">
        <v>306</v>
      </c>
      <c r="W3" s="21" t="s">
        <v>300</v>
      </c>
      <c r="X3" s="21" t="s">
        <v>274</v>
      </c>
      <c r="Y3" s="21" t="s">
        <v>301</v>
      </c>
      <c r="Z3" s="21" t="s">
        <v>302</v>
      </c>
      <c r="AA3" s="21" t="s">
        <v>714</v>
      </c>
      <c r="AB3" s="91" t="s">
        <v>554</v>
      </c>
      <c r="AC3" s="21" t="s">
        <v>698</v>
      </c>
      <c r="AD3" s="21" t="s">
        <v>559</v>
      </c>
      <c r="AE3" s="21" t="s">
        <v>562</v>
      </c>
      <c r="AF3" s="21" t="s">
        <v>564</v>
      </c>
      <c r="AG3" s="100" t="s">
        <v>568</v>
      </c>
      <c r="AH3" s="21" t="s">
        <v>571</v>
      </c>
      <c r="AI3" s="21" t="s">
        <v>574</v>
      </c>
      <c r="AJ3" s="21" t="s">
        <v>577</v>
      </c>
      <c r="AK3" s="21" t="s">
        <v>580</v>
      </c>
      <c r="AL3" s="71" t="s">
        <v>548</v>
      </c>
      <c r="AM3" s="21" t="s">
        <v>551</v>
      </c>
      <c r="AN3" s="254" t="s">
        <v>873</v>
      </c>
      <c r="AO3" s="85" t="s">
        <v>874</v>
      </c>
    </row>
    <row r="4" spans="1:41">
      <c r="A4" s="85" t="s">
        <v>483</v>
      </c>
      <c r="B4" s="85" t="s">
        <v>582</v>
      </c>
    </row>
    <row r="5" spans="1:41" s="266" customFormat="1">
      <c r="A5" s="266" t="s">
        <v>484</v>
      </c>
      <c r="B5" s="266" t="s">
        <v>583</v>
      </c>
      <c r="C5" s="267" t="str" cm="1">
        <f t="array" ref="C5">IF(C6&lt;&gt;"",INDEX(AbilityParams!$1:$1,0,MATCH(C6,AbilityParams!$2:$2,0)),"")</f>
        <v>10a0</v>
      </c>
      <c r="D5" s="266" cm="1">
        <f t="array" ref="D5">IF(D6&lt;&gt;"",INDEX(AbilityParams!$1:$1,0,MATCH(D6,AbilityParams!$2:$2,0)),"")</f>
        <v>1020</v>
      </c>
      <c r="E5" s="266" cm="1">
        <f t="array" ref="E5">IF(E6&lt;&gt;"",INDEX(AbilityParams!$1:$1,0,MATCH(E6,AbilityParams!$2:$2,0)),"")</f>
        <v>1090</v>
      </c>
      <c r="F5" s="266" cm="1">
        <f t="array" ref="F5">IF(F6&lt;&gt;"",INDEX(AbilityParams!$1:$1,0,MATCH(F6,AbilityParams!$2:$2,0)),"")</f>
        <v>1070</v>
      </c>
      <c r="G5" s="266" cm="1">
        <f t="array" ref="G5">IF(G6&lt;&gt;"",INDEX(AbilityParams!$1:$1,0,MATCH(G6,AbilityParams!$2:$2,0)),"")</f>
        <v>1030</v>
      </c>
      <c r="H5" s="266" t="str" cm="1">
        <f t="array" ref="H5">IF(H6&lt;&gt;"",INDEX(AbilityParams!$1:$1,0,MATCH(H6,AbilityParams!$2:$2,0)),"")</f>
        <v>10i0</v>
      </c>
      <c r="I5" s="266" t="str" cm="1">
        <f t="array" ref="I5">IF(I6&lt;&gt;"",INDEX(AbilityParams!$1:$1,0,MATCH(I6,AbilityParams!$2:$2,0)),"")</f>
        <v>10h0</v>
      </c>
      <c r="J5" s="266" cm="1">
        <f t="array" ref="J5">IF(J6&lt;&gt;"",INDEX(AbilityParams!$1:$1,0,MATCH(J6,AbilityParams!$2:$2,0)),"")</f>
        <v>1070</v>
      </c>
      <c r="K5" s="266" t="str" cm="1">
        <f t="array" ref="K5">IF(K6&lt;&gt;"",INDEX(AbilityParams!$1:$1,0,MATCH(K6,AbilityParams!$2:$2,0)),"")</f>
        <v>10n0</v>
      </c>
      <c r="L5" s="266" cm="1">
        <f t="array" ref="L5">IF(L6&lt;&gt;"",INDEX(AbilityParams!$1:$1,0,MATCH(L6,AbilityParams!$2:$2,0)),"")</f>
        <v>1060</v>
      </c>
      <c r="M5" s="266" cm="1">
        <f t="array" ref="M5">IF(M6&lt;&gt;"",INDEX(AbilityParams!$1:$1,0,MATCH(M6,AbilityParams!$2:$2,0)),"")</f>
        <v>1000</v>
      </c>
      <c r="N5" s="266" t="str" cm="1">
        <f t="array" ref="N5">IF(N6&lt;&gt;"",INDEX(AbilityParams!$1:$1,0,MATCH(N6,AbilityParams!$2:$2,0)),"")</f>
        <v>10g0</v>
      </c>
      <c r="O5" s="266" t="str" cm="1">
        <f t="array" ref="O5">IF(O6&lt;&gt;"",INDEX(AbilityParams!$1:$1,0,MATCH(O6,AbilityParams!$2:$2,0)),"")</f>
        <v>10f0</v>
      </c>
      <c r="P5" s="266" t="str" cm="1">
        <f t="array" ref="P5">IF(P6&lt;&gt;"",INDEX(AbilityParams!$1:$1,0,MATCH(P6,AbilityParams!$2:$2,0)),"")</f>
        <v>10l0</v>
      </c>
      <c r="Q5" s="266" t="str" cm="1">
        <f t="array" ref="Q5">IF(Q6&lt;&gt;"",INDEX(AbilityParams!$1:$1,0,MATCH(Q6,AbilityParams!$2:$2,0)),"")</f>
        <v>10d0</v>
      </c>
      <c r="R5" s="266" t="str" cm="1">
        <f t="array" ref="R5">IF(R6&lt;&gt;"",INDEX(AbilityParams!$1:$1,0,MATCH(R6,AbilityParams!$2:$2,0)),"")</f>
        <v>10j0</v>
      </c>
      <c r="S5" s="266" t="s">
        <v>775</v>
      </c>
      <c r="T5" s="268" t="str" cm="1">
        <f t="array" ref="T5">IF(T6&lt;&gt;"",INDEX(AbilityParams!$1:$1,0,MATCH(T6,AbilityParams!$2:$2,0)),"")</f>
        <v>10b0</v>
      </c>
      <c r="U5" s="266" t="str" cm="1">
        <f t="array" ref="U5">IF(U6&lt;&gt;"",INDEX(AbilityParams!$1:$1,0,MATCH(U6,AbilityParams!$2:$2,0)),"")</f>
        <v>10c0</v>
      </c>
      <c r="V5" s="266" t="str" cm="1">
        <f t="array" ref="V5">IF(V6&lt;&gt;"",INDEX(AbilityParams!$1:$1,0,MATCH(V6,AbilityParams!$2:$2,0)),"")</f>
        <v>10a0</v>
      </c>
      <c r="W5" s="266" t="str" cm="1">
        <f t="array" ref="W5">IF(W6&lt;&gt;"",INDEX(AbilityParams!$1:$1,0,MATCH(W6,AbilityParams!$2:$2,0)),"")</f>
        <v>10k0</v>
      </c>
      <c r="X5" s="266" t="str" cm="1">
        <f t="array" ref="X5">IF(X6&lt;&gt;"",INDEX(AbilityParams!$1:$1,0,MATCH(X6,AbilityParams!$2:$2,0)),"")</f>
        <v>10m0</v>
      </c>
      <c r="Y5" s="266" t="str" cm="1">
        <f t="array" ref="Y5">IF(Y6&lt;&gt;"",INDEX(AbilityParams!$1:$1,0,MATCH(Y6,AbilityParams!$2:$2,0)),"")</f>
        <v>10n0</v>
      </c>
      <c r="Z5" s="266" t="str" cm="1">
        <f t="array" ref="Z5">IF(Z6&lt;&gt;"",INDEX(AbilityParams!$1:$1,0,MATCH(Z6,AbilityParams!$2:$2,0)),"")</f>
        <v>10b0</v>
      </c>
      <c r="AA5" s="266" t="str" cm="1">
        <f t="array" ref="AA5">IF(AA6&lt;&gt;"",INDEX(AbilityParams!$1:$1,0,MATCH(AA6,AbilityParams!$2:$2,0)),"")</f>
        <v>10o0</v>
      </c>
      <c r="AB5" s="269" t="str" cm="1">
        <f t="array" ref="AB5">IF(AB6&lt;&gt;"",INDEX(AbilityParams!$1:$1,0,MATCH(AB6,AbilityParams!$2:$2,0)),"")</f>
        <v/>
      </c>
      <c r="AC5" s="266" t="str" cm="1">
        <f t="array" ref="AC5">IF(AC6&lt;&gt;"",INDEX(AbilityParams!$1:$1,0,MATCH(AC6,AbilityParams!$2:$2,0)),"")</f>
        <v/>
      </c>
      <c r="AD5" s="266" t="str" cm="1">
        <f t="array" ref="AD5">IF(AD6&lt;&gt;"",INDEX(AbilityParams!$1:$1,0,MATCH(AD6,AbilityParams!$2:$2,0)),"")</f>
        <v/>
      </c>
      <c r="AE5" s="266" t="str" cm="1">
        <f t="array" ref="AE5">IF(AE6&lt;&gt;"",INDEX(AbilityParams!$1:$1,0,MATCH(AE6,AbilityParams!$2:$2,0)),"")</f>
        <v/>
      </c>
      <c r="AF5" s="266" t="str" cm="1">
        <f t="array" ref="AF5">IF(AF6&lt;&gt;"",INDEX(AbilityParams!$1:$1,0,MATCH(AF6,AbilityParams!$2:$2,0)),"")</f>
        <v/>
      </c>
      <c r="AG5" s="270" t="str" cm="1">
        <f t="array" ref="AG5">IF(AG6&lt;&gt;"",INDEX(AbilityParams!$1:$1,0,MATCH(AG6,AbilityParams!$2:$2,0)),"")</f>
        <v>10u0</v>
      </c>
      <c r="AH5" s="266" t="str" cm="1">
        <f t="array" ref="AH5">IF(AH6&lt;&gt;"",INDEX(AbilityParams!$1:$1,0,MATCH(AH6,AbilityParams!$2:$2,0)),"")</f>
        <v>10v0</v>
      </c>
      <c r="AI5" s="266" t="str" cm="1">
        <f t="array" ref="AI5">IF(AI6&lt;&gt;"",INDEX(AbilityParams!$1:$1,0,MATCH(AI6,AbilityParams!$2:$2,0)),"")</f>
        <v>10w0</v>
      </c>
      <c r="AJ5" s="266" t="str" cm="1">
        <f t="array" ref="AJ5">IF(AJ6&lt;&gt;"",INDEX(AbilityParams!$1:$1,0,MATCH(AJ6,AbilityParams!$2:$2,0)),"")</f>
        <v>10x0</v>
      </c>
      <c r="AK5" s="266" t="str" cm="1">
        <f t="array" ref="AK5">IF(AK6&lt;&gt;"",INDEX(AbilityParams!$1:$1,0,MATCH(AK6,AbilityParams!$2:$2,0)),"")</f>
        <v>10y0</v>
      </c>
      <c r="AL5" s="271" cm="1">
        <f t="array" ref="AL5">IF(AL6&lt;&gt;"",INDEX(AbilityParams!$1:$1,0,MATCH(AL6,AbilityParams!$2:$2,0)),"")</f>
        <v>1000</v>
      </c>
      <c r="AM5" s="266" t="str" cm="1">
        <f t="array" ref="AM5">IF(AM6&lt;&gt;"",INDEX(AbilityParams!$1:$1,0,MATCH(AM6,AbilityParams!$2:$2,0)),"")</f>
        <v/>
      </c>
      <c r="AN5" s="272"/>
    </row>
    <row r="6" spans="1:41" s="274" customFormat="1">
      <c r="A6" s="17" t="s">
        <v>883</v>
      </c>
      <c r="B6" s="17" t="s">
        <v>723</v>
      </c>
      <c r="C6" s="273" t="s">
        <v>731</v>
      </c>
      <c r="D6" s="274" t="s">
        <v>47</v>
      </c>
      <c r="E6" s="274" t="s">
        <v>732</v>
      </c>
      <c r="F6" s="274" t="s">
        <v>52</v>
      </c>
      <c r="G6" s="274" t="s">
        <v>48</v>
      </c>
      <c r="H6" s="274" t="s">
        <v>107</v>
      </c>
      <c r="I6" s="274" t="s">
        <v>476</v>
      </c>
      <c r="J6" s="274" t="s">
        <v>52</v>
      </c>
      <c r="K6" s="274" t="s">
        <v>120</v>
      </c>
      <c r="L6" s="274" t="s">
        <v>51</v>
      </c>
      <c r="M6" s="274" t="s">
        <v>45</v>
      </c>
      <c r="N6" s="274" t="s">
        <v>99</v>
      </c>
      <c r="O6" s="274" t="s">
        <v>95</v>
      </c>
      <c r="P6" s="274" t="s">
        <v>116</v>
      </c>
      <c r="Q6" s="274" t="s">
        <v>81</v>
      </c>
      <c r="R6" s="274" t="s">
        <v>112</v>
      </c>
      <c r="S6" s="274" t="s">
        <v>748</v>
      </c>
      <c r="T6" s="275" t="s">
        <v>72</v>
      </c>
      <c r="U6" s="274" t="s">
        <v>74</v>
      </c>
      <c r="V6" s="274" t="s">
        <v>748</v>
      </c>
      <c r="W6" s="274" t="s">
        <v>755</v>
      </c>
      <c r="X6" s="274" t="s">
        <v>756</v>
      </c>
      <c r="Y6" s="274" t="s">
        <v>751</v>
      </c>
      <c r="Z6" s="274" t="s">
        <v>754</v>
      </c>
      <c r="AA6" s="274" t="s">
        <v>757</v>
      </c>
      <c r="AB6" s="276"/>
      <c r="AG6" s="277" t="s">
        <v>758</v>
      </c>
      <c r="AH6" s="274" t="s">
        <v>759</v>
      </c>
      <c r="AI6" s="274" t="s">
        <v>760</v>
      </c>
      <c r="AJ6" s="274" t="s">
        <v>761</v>
      </c>
      <c r="AK6" s="274" t="s">
        <v>762</v>
      </c>
      <c r="AL6" s="278" t="s">
        <v>752</v>
      </c>
      <c r="AN6" s="279"/>
    </row>
    <row r="7" spans="1:41" s="266" customFormat="1">
      <c r="A7" s="266" t="s">
        <v>485</v>
      </c>
      <c r="B7" s="266" t="s">
        <v>583</v>
      </c>
      <c r="C7" s="267" cm="1">
        <f t="array" ref="C7">IF(C8&lt;&gt;"",INDEX(AbilityParams!$1:$1,0,MATCH(C8,AbilityParams!$2:$2,0)),"")</f>
        <v>2030</v>
      </c>
      <c r="D7" s="266" t="str" cm="1">
        <f t="array" ref="D7">IF(D8&lt;&gt;"",INDEX(AbilityParams!$1:$1,0,MATCH(D8,AbilityParams!$2:$2,0)),"")</f>
        <v>20d0</v>
      </c>
      <c r="E7" s="266" t="str" cm="1">
        <f t="array" ref="E7">IF(E8&lt;&gt;"",INDEX(AbilityParams!$1:$1,0,MATCH(E8,AbilityParams!$2:$2,0)),"")</f>
        <v>20e0</v>
      </c>
      <c r="F7" s="266" t="str" cm="1">
        <f t="array" ref="F7">IF(F8&lt;&gt;"",INDEX(AbilityParams!$1:$1,0,MATCH(F8,AbilityParams!$2:$2,0)),"")</f>
        <v>20f0</v>
      </c>
      <c r="G7" s="266" cm="1">
        <f t="array" ref="G7">IF(G8&lt;&gt;"",INDEX(AbilityParams!$1:$1,0,MATCH(G8,AbilityParams!$2:$2,0)),"")</f>
        <v>2050</v>
      </c>
      <c r="H7" s="266" cm="1">
        <f t="array" ref="H7">IF(H8&lt;&gt;"",INDEX(AbilityParams!$1:$1,0,MATCH(H8,AbilityParams!$2:$2,0)),"")</f>
        <v>2000</v>
      </c>
      <c r="I7" s="266" t="str" cm="1">
        <f t="array" ref="I7">IF(I8&lt;&gt;"",INDEX(AbilityParams!$1:$1,0,MATCH(I8,AbilityParams!$2:$2,0)),"")</f>
        <v>20g0</v>
      </c>
      <c r="J7" s="266" cm="1">
        <f t="array" ref="J7">IF(J8&lt;&gt;"",INDEX(AbilityParams!$1:$1,0,MATCH(J8,AbilityParams!$2:$2,0)),"")</f>
        <v>2060</v>
      </c>
      <c r="K7" s="266" t="str" cm="1">
        <f t="array" ref="K7">IF(K8&lt;&gt;"",INDEX(AbilityParams!$1:$1,0,MATCH(K8,AbilityParams!$2:$2,0)),"")</f>
        <v>20j0</v>
      </c>
      <c r="L7" s="266" cm="1">
        <f t="array" ref="L7">IF(L8&lt;&gt;"",INDEX(AbilityParams!$1:$1,0,MATCH(L8,AbilityParams!$2:$2,0)),"")</f>
        <v>2040</v>
      </c>
      <c r="M7" s="266" cm="1">
        <f t="array" ref="M7">IF(M8&lt;&gt;"",INDEX(AbilityParams!$1:$1,0,MATCH(M8,AbilityParams!$2:$2,0)),"")</f>
        <v>2090</v>
      </c>
      <c r="N7" s="266" t="str" cm="1">
        <f t="array" ref="N7">IF(N8&lt;&gt;"",INDEX(AbilityParams!$1:$1,0,MATCH(N8,AbilityParams!$2:$2,0)),"")</f>
        <v>20c0</v>
      </c>
      <c r="O7" s="266" t="str" cm="1">
        <f t="array" ref="O7">IF(O8&lt;&gt;"",INDEX(AbilityParams!$1:$1,0,MATCH(O8,AbilityParams!$2:$2,0)),"")</f>
        <v>20b0</v>
      </c>
      <c r="P7" s="266" t="str" cm="1">
        <f t="array" ref="P7">IF(P8&lt;&gt;"",INDEX(AbilityParams!$1:$1,0,MATCH(P8,AbilityParams!$2:$2,0)),"")</f>
        <v>20i0</v>
      </c>
      <c r="Q7" s="266" t="str" cm="1">
        <f t="array" ref="Q7">IF(Q8&lt;&gt;"",INDEX(AbilityParams!$1:$1,0,MATCH(Q8,AbilityParams!$2:$2,0)),"")</f>
        <v>20a0</v>
      </c>
      <c r="R7" s="266" t="str" cm="1">
        <f t="array" ref="R7">IF(R8&lt;&gt;"",INDEX(AbilityParams!$1:$1,0,MATCH(R8,AbilityParams!$2:$2,0)),"")</f>
        <v>20h0</v>
      </c>
      <c r="S7" s="266">
        <v>2030</v>
      </c>
      <c r="T7" s="268" cm="1">
        <f t="array" ref="T7">IF(T8&lt;&gt;"",INDEX(AbilityParams!$1:$1,0,MATCH(T8,AbilityParams!$2:$2,0)),"")</f>
        <v>2090</v>
      </c>
      <c r="U7" s="266" cm="1">
        <f t="array" ref="U7">IF(U8&lt;&gt;"",INDEX(AbilityParams!$1:$1,0,MATCH(U8,AbilityParams!$2:$2,0)),"")</f>
        <v>2090</v>
      </c>
      <c r="V7" s="266" cm="1">
        <f t="array" ref="V7">IF(V8&lt;&gt;"",INDEX(AbilityParams!$1:$1,0,MATCH(V8,AbilityParams!$2:$2,0)),"")</f>
        <v>2030</v>
      </c>
      <c r="W7" s="266" t="str" cm="1">
        <f t="array" ref="W7">IF(W8&lt;&gt;"",INDEX(AbilityParams!$1:$1,0,MATCH(W8,AbilityParams!$2:$2,0)),"")</f>
        <v>20n0</v>
      </c>
      <c r="X7" s="266" t="str" cm="1">
        <f t="array" ref="X7">IF(X8&lt;&gt;"",INDEX(AbilityParams!$1:$1,0,MATCH(X8,AbilityParams!$2:$2,0)),"")</f>
        <v>20n0</v>
      </c>
      <c r="Y7" s="266" cm="1">
        <f t="array" ref="Y7">IF(Y8&lt;&gt;"",INDEX(AbilityParams!$1:$1,0,MATCH(Y8,AbilityParams!$2:$2,0)),"")</f>
        <v>2090</v>
      </c>
      <c r="Z7" s="266" cm="1">
        <f t="array" ref="Z7">IF(Z8&lt;&gt;"",INDEX(AbilityParams!$1:$1,0,MATCH(Z8,AbilityParams!$2:$2,0)),"")</f>
        <v>2090</v>
      </c>
      <c r="AA7" s="266" t="str" cm="1">
        <f t="array" ref="AA7">IF(AA8&lt;&gt;"",INDEX(AbilityParams!$1:$1,0,MATCH(AA8,AbilityParams!$2:$2,0)),"")</f>
        <v>20n0</v>
      </c>
      <c r="AB7" s="269" t="str" cm="1">
        <f t="array" ref="AB7">IF(AB8&lt;&gt;"",INDEX(AbilityParams!$1:$1,0,MATCH(AB8,AbilityParams!$2:$2,0)),"")</f>
        <v/>
      </c>
      <c r="AC7" s="266" t="str" cm="1">
        <f t="array" ref="AC7">IF(AC8&lt;&gt;"",INDEX(AbilityParams!$1:$1,0,MATCH(AC8,AbilityParams!$2:$2,0)),"")</f>
        <v>20m0</v>
      </c>
      <c r="AD7" s="266" t="str" cm="1">
        <f t="array" ref="AD7">IF(AD8&lt;&gt;"",INDEX(AbilityParams!$1:$1,0,MATCH(AD8,AbilityParams!$2:$2,0)),"")</f>
        <v/>
      </c>
      <c r="AE7" s="266" t="str" cm="1">
        <f t="array" ref="AE7">IF(AE8&lt;&gt;"",INDEX(AbilityParams!$1:$1,0,MATCH(AE8,AbilityParams!$2:$2,0)),"")</f>
        <v/>
      </c>
      <c r="AF7" s="266" t="str" cm="1">
        <f t="array" ref="AF7">IF(AF8&lt;&gt;"",INDEX(AbilityParams!$1:$1,0,MATCH(AF8,AbilityParams!$2:$2,0)),"")</f>
        <v/>
      </c>
      <c r="AG7" s="270" t="str" cm="1">
        <f t="array" ref="AG7">IF(AG8&lt;&gt;"",INDEX(AbilityParams!$1:$1,0,MATCH(AG8,AbilityParams!$2:$2,0)),"")</f>
        <v>20o0</v>
      </c>
      <c r="AH7" s="266" t="str" cm="1">
        <f t="array" ref="AH7">IF(AH8&lt;&gt;"",INDEX(AbilityParams!$1:$1,0,MATCH(AH8,AbilityParams!$2:$2,0)),"")</f>
        <v>20p0</v>
      </c>
      <c r="AI7" s="266" t="str" cm="1">
        <f t="array" ref="AI7">IF(AI8&lt;&gt;"",INDEX(AbilityParams!$1:$1,0,MATCH(AI8,AbilityParams!$2:$2,0)),"")</f>
        <v>20q0</v>
      </c>
      <c r="AJ7" s="266" t="str" cm="1">
        <f t="array" ref="AJ7">IF(AJ8&lt;&gt;"",INDEX(AbilityParams!$1:$1,0,MATCH(AJ8,AbilityParams!$2:$2,0)),"")</f>
        <v>20r0</v>
      </c>
      <c r="AK7" s="266" t="str" cm="1">
        <f t="array" ref="AK7">IF(AK8&lt;&gt;"",INDEX(AbilityParams!$1:$1,0,MATCH(AK8,AbilityParams!$2:$2,0)),"")</f>
        <v>20s0</v>
      </c>
      <c r="AL7" s="271" cm="1">
        <f t="array" ref="AL7">IF(AL8&lt;&gt;"",INDEX(AbilityParams!$1:$1,0,MATCH(AL8,AbilityParams!$2:$2,0)),"")</f>
        <v>1090</v>
      </c>
      <c r="AM7" s="266" t="str" cm="1">
        <f t="array" ref="AM7">IF(AM8&lt;&gt;"",INDEX(AbilityParams!$1:$1,0,MATCH(AM8,AbilityParams!$2:$2,0)),"")</f>
        <v/>
      </c>
      <c r="AN7" s="272"/>
    </row>
    <row r="8" spans="1:41" s="17" customFormat="1">
      <c r="A8" s="17" t="s">
        <v>883</v>
      </c>
      <c r="B8" s="17" t="s">
        <v>723</v>
      </c>
      <c r="C8" s="273" t="s">
        <v>138</v>
      </c>
      <c r="D8" s="274" t="s">
        <v>164</v>
      </c>
      <c r="E8" s="274" t="s">
        <v>165</v>
      </c>
      <c r="F8" s="274" t="s">
        <v>168</v>
      </c>
      <c r="G8" s="274" t="s">
        <v>144</v>
      </c>
      <c r="H8" s="274" t="s">
        <v>137</v>
      </c>
      <c r="I8" s="274" t="s">
        <v>171</v>
      </c>
      <c r="J8" s="274" t="s">
        <v>152</v>
      </c>
      <c r="K8" s="274" t="s">
        <v>175</v>
      </c>
      <c r="L8" s="274" t="s">
        <v>140</v>
      </c>
      <c r="M8" s="274" t="s">
        <v>730</v>
      </c>
      <c r="N8" s="274" t="s">
        <v>163</v>
      </c>
      <c r="O8" s="274" t="s">
        <v>162</v>
      </c>
      <c r="P8" s="274" t="s">
        <v>174</v>
      </c>
      <c r="Q8" s="274" t="s">
        <v>159</v>
      </c>
      <c r="R8" s="274" t="s">
        <v>172</v>
      </c>
      <c r="S8" s="274" t="s">
        <v>749</v>
      </c>
      <c r="T8" s="275" t="s">
        <v>730</v>
      </c>
      <c r="U8" s="274" t="s">
        <v>730</v>
      </c>
      <c r="V8" s="274" t="s">
        <v>749</v>
      </c>
      <c r="W8" s="274" t="s">
        <v>763</v>
      </c>
      <c r="X8" s="274" t="s">
        <v>763</v>
      </c>
      <c r="Y8" s="274" t="s">
        <v>753</v>
      </c>
      <c r="Z8" s="274" t="s">
        <v>753</v>
      </c>
      <c r="AA8" s="274" t="s">
        <v>763</v>
      </c>
      <c r="AB8" s="276"/>
      <c r="AC8" s="274" t="s">
        <v>764</v>
      </c>
      <c r="AD8" s="274"/>
      <c r="AE8" s="274"/>
      <c r="AF8" s="274"/>
      <c r="AG8" s="277" t="s">
        <v>765</v>
      </c>
      <c r="AH8" s="274" t="s">
        <v>766</v>
      </c>
      <c r="AI8" s="274" t="s">
        <v>767</v>
      </c>
      <c r="AJ8" s="274" t="s">
        <v>768</v>
      </c>
      <c r="AK8" s="274" t="s">
        <v>769</v>
      </c>
      <c r="AL8" s="278" t="s">
        <v>750</v>
      </c>
      <c r="AM8" s="274"/>
      <c r="AN8" s="249"/>
    </row>
    <row r="9" spans="1:41" s="280" customFormat="1">
      <c r="A9" s="280" t="s">
        <v>884</v>
      </c>
      <c r="B9" s="280" t="s">
        <v>886</v>
      </c>
      <c r="C9" s="281" t="str" cm="1">
        <f t="array" ref="C9">IF(C10&lt;&gt;"",INDEX(AbilityParams!$1:$1,0,MATCH(C10,AbilityParams!$2:$2,0)),"")</f>
        <v>20e0</v>
      </c>
      <c r="D9" s="280" t="str" cm="1">
        <f t="array" ref="D9">IF(D10&lt;&gt;"",INDEX(AbilityParams!$1:$1,0,MATCH(D10,AbilityParams!$2:$2,0)),"")</f>
        <v/>
      </c>
      <c r="E9" s="280" t="str" cm="1">
        <f t="array" ref="E9">IF(E10&lt;&gt;"",INDEX(AbilityParams!$1:$1,0,MATCH(E10,AbilityParams!$2:$2,0)),"")</f>
        <v/>
      </c>
      <c r="F9" s="280" t="str" cm="1">
        <f t="array" ref="F9">IF(F10&lt;&gt;"",INDEX(AbilityParams!$1:$1,0,MATCH(F10,AbilityParams!$2:$2,0)),"")</f>
        <v/>
      </c>
      <c r="G9" s="280" t="str" cm="1">
        <f t="array" ref="G9">IF(G10&lt;&gt;"",INDEX(AbilityParams!$1:$1,0,MATCH(G10,AbilityParams!$2:$2,0)),"")</f>
        <v/>
      </c>
      <c r="H9" s="280" t="str" cm="1">
        <f t="array" ref="H9">IF(H10&lt;&gt;"",INDEX(AbilityParams!$1:$1,0,MATCH(H10,AbilityParams!$2:$2,0)),"")</f>
        <v/>
      </c>
      <c r="I9" s="280" t="str" cm="1">
        <f t="array" ref="I9">IF(I10&lt;&gt;"",INDEX(AbilityParams!$1:$1,0,MATCH(I10,AbilityParams!$2:$2,0)),"")</f>
        <v/>
      </c>
      <c r="J9" s="280" t="str" cm="1">
        <f t="array" ref="J9">IF(J10&lt;&gt;"",INDEX(AbilityParams!$1:$1,0,MATCH(J10,AbilityParams!$2:$2,0)),"")</f>
        <v/>
      </c>
      <c r="K9" s="280" t="str" cm="1">
        <f t="array" ref="K9">IF(K10&lt;&gt;"",INDEX(AbilityParams!$1:$1,0,MATCH(K10,AbilityParams!$2:$2,0)),"")</f>
        <v/>
      </c>
      <c r="L9" s="280" t="str" cm="1">
        <f t="array" ref="L9">IF(L10&lt;&gt;"",INDEX(AbilityParams!$1:$1,0,MATCH(L10,AbilityParams!$2:$2,0)),"")</f>
        <v/>
      </c>
      <c r="M9" s="280" t="str" cm="1">
        <f t="array" ref="M9">IF(M10&lt;&gt;"",INDEX(AbilityParams!$1:$1,0,MATCH(M10,AbilityParams!$2:$2,0)),"")</f>
        <v/>
      </c>
      <c r="N9" s="280" t="str" cm="1">
        <f t="array" ref="N9">IF(N10&lt;&gt;"",INDEX(AbilityParams!$1:$1,0,MATCH(N10,AbilityParams!$2:$2,0)),"")</f>
        <v/>
      </c>
      <c r="O9" s="280" t="str" cm="1">
        <f t="array" ref="O9">IF(O10&lt;&gt;"",INDEX(AbilityParams!$1:$1,0,MATCH(O10,AbilityParams!$2:$2,0)),"")</f>
        <v/>
      </c>
      <c r="P9" s="280" t="str" cm="1">
        <f t="array" ref="P9">IF(P10&lt;&gt;"",INDEX(AbilityParams!$1:$1,0,MATCH(P10,AbilityParams!$2:$2,0)),"")</f>
        <v/>
      </c>
      <c r="Q9" s="280" t="str" cm="1">
        <f t="array" ref="Q9">IF(Q10&lt;&gt;"",INDEX(AbilityParams!$1:$1,0,MATCH(Q10,AbilityParams!$2:$2,0)),"")</f>
        <v/>
      </c>
      <c r="R9" s="280" t="str" cm="1">
        <f t="array" ref="R9">IF(R10&lt;&gt;"",INDEX(AbilityParams!$1:$1,0,MATCH(R10,AbilityParams!$2:$2,0)),"")</f>
        <v/>
      </c>
      <c r="S9" s="280" t="s">
        <v>919</v>
      </c>
      <c r="T9" s="282" t="str" cm="1">
        <f t="array" ref="T9">IF(T10&lt;&gt;"",INDEX(AbilityParams!$1:$1,0,MATCH(T10,AbilityParams!$2:$2,0)),"")</f>
        <v/>
      </c>
      <c r="U9" s="280" t="str" cm="1">
        <f t="array" ref="U9">IF(U10&lt;&gt;"",INDEX(AbilityParams!$1:$1,0,MATCH(U10,AbilityParams!$2:$2,0)),"")</f>
        <v/>
      </c>
      <c r="V9" s="280" t="str" cm="1">
        <f t="array" ref="V9">IF(V10&lt;&gt;"",INDEX(AbilityParams!$1:$1,0,MATCH(V10,AbilityParams!$2:$2,0)),"")</f>
        <v/>
      </c>
      <c r="W9" s="280" t="str" cm="1">
        <f t="array" ref="W9">IF(W10&lt;&gt;"",INDEX(AbilityParams!$1:$1,0,MATCH(W10,AbilityParams!$2:$2,0)),"")</f>
        <v/>
      </c>
      <c r="X9" s="280" t="str" cm="1">
        <f t="array" ref="X9">IF(X10&lt;&gt;"",INDEX(AbilityParams!$1:$1,0,MATCH(X10,AbilityParams!$2:$2,0)),"")</f>
        <v/>
      </c>
      <c r="Y9" s="280" t="str" cm="1">
        <f t="array" ref="Y9">IF(Y10&lt;&gt;"",INDEX(AbilityParams!$1:$1,0,MATCH(Y10,AbilityParams!$2:$2,0)),"")</f>
        <v/>
      </c>
      <c r="Z9" s="280" t="str" cm="1">
        <f t="array" ref="Z9">IF(Z10&lt;&gt;"",INDEX(AbilityParams!$1:$1,0,MATCH(Z10,AbilityParams!$2:$2,0)),"")</f>
        <v/>
      </c>
      <c r="AA9" s="280" t="str" cm="1">
        <f t="array" ref="AA9">IF(AA10&lt;&gt;"",INDEX(AbilityParams!$1:$1,0,MATCH(AA10,AbilityParams!$2:$2,0)),"")</f>
        <v/>
      </c>
      <c r="AB9" s="283" t="str" cm="1">
        <f t="array" ref="AB9">IF(AB10&lt;&gt;"",INDEX(AbilityParams!$1:$1,0,MATCH(AB10,AbilityParams!$2:$2,0)),"")</f>
        <v/>
      </c>
      <c r="AC9" s="280" t="str" cm="1">
        <f t="array" ref="AC9">IF(AC10&lt;&gt;"",INDEX(AbilityParams!$1:$1,0,MATCH(AC10,AbilityParams!$2:$2,0)),"")</f>
        <v/>
      </c>
      <c r="AD9" s="280" t="str" cm="1">
        <f t="array" ref="AD9">IF(AD10&lt;&gt;"",INDEX(AbilityParams!$1:$1,0,MATCH(AD10,AbilityParams!$2:$2,0)),"")</f>
        <v/>
      </c>
      <c r="AE9" s="280" t="str" cm="1">
        <f t="array" ref="AE9">IF(AE10&lt;&gt;"",INDEX(AbilityParams!$1:$1,0,MATCH(AE10,AbilityParams!$2:$2,0)),"")</f>
        <v/>
      </c>
      <c r="AF9" s="280" t="str" cm="1">
        <f t="array" ref="AF9">IF(AF10&lt;&gt;"",INDEX(AbilityParams!$1:$1,0,MATCH(AF10,AbilityParams!$2:$2,0)),"")</f>
        <v/>
      </c>
      <c r="AG9" s="284" t="str" cm="1">
        <f t="array" ref="AG9">IF(AG10&lt;&gt;"",INDEX(AbilityParams!$1:$1,0,MATCH(AG10,AbilityParams!$2:$2,0)),"")</f>
        <v/>
      </c>
      <c r="AH9" s="280" t="str" cm="1">
        <f t="array" ref="AH9">IF(AH10&lt;&gt;"",INDEX(AbilityParams!$1:$1,0,MATCH(AH10,AbilityParams!$2:$2,0)),"")</f>
        <v/>
      </c>
      <c r="AI9" s="280" t="str" cm="1">
        <f t="array" ref="AI9">IF(AI10&lt;&gt;"",INDEX(AbilityParams!$1:$1,0,MATCH(AI10,AbilityParams!$2:$2,0)),"")</f>
        <v/>
      </c>
      <c r="AJ9" s="280" t="str" cm="1">
        <f t="array" ref="AJ9">IF(AJ10&lt;&gt;"",INDEX(AbilityParams!$1:$1,0,MATCH(AJ10,AbilityParams!$2:$2,0)),"")</f>
        <v/>
      </c>
      <c r="AK9" s="280" t="str" cm="1">
        <f t="array" ref="AK9">IF(AK10&lt;&gt;"",INDEX(AbilityParams!$1:$1,0,MATCH(AK10,AbilityParams!$2:$2,0)),"")</f>
        <v/>
      </c>
      <c r="AL9" s="285" t="str" cm="1">
        <f t="array" ref="AL9">IF(AL10&lt;&gt;"",INDEX(AbilityParams!$1:$1,0,MATCH(AL10,AbilityParams!$2:$2,0)),"")</f>
        <v/>
      </c>
      <c r="AM9" s="280" t="str" cm="1">
        <f t="array" ref="AM9">IF(AM10&lt;&gt;"",INDEX(AbilityParams!$1:$1,0,MATCH(AM10,AbilityParams!$2:$2,0)),"")</f>
        <v/>
      </c>
      <c r="AN9" s="286"/>
    </row>
    <row r="10" spans="1:41" s="289" customFormat="1">
      <c r="A10" s="287" t="s">
        <v>883</v>
      </c>
      <c r="B10" s="287" t="s">
        <v>723</v>
      </c>
      <c r="C10" s="288" t="s">
        <v>165</v>
      </c>
      <c r="S10" s="289" t="s">
        <v>920</v>
      </c>
      <c r="T10" s="290"/>
      <c r="AB10" s="291"/>
      <c r="AG10" s="292"/>
      <c r="AL10" s="293"/>
      <c r="AN10" s="294"/>
    </row>
    <row r="11" spans="1:41" s="280" customFormat="1">
      <c r="A11" s="280" t="s">
        <v>885</v>
      </c>
      <c r="B11" s="280" t="s">
        <v>886</v>
      </c>
      <c r="C11" s="281" t="str" cm="1">
        <f t="array" ref="C11">IF(C12&lt;&gt;"",INDEX(AbilityParams!$1:$1,0,MATCH(C12,AbilityParams!$2:$2,0)),"")</f>
        <v/>
      </c>
      <c r="D11" s="280" t="str" cm="1">
        <f t="array" ref="D11">IF(D12&lt;&gt;"",INDEX(AbilityParams!$1:$1,0,MATCH(D12,AbilityParams!$2:$2,0)),"")</f>
        <v/>
      </c>
      <c r="E11" s="280" t="str" cm="1">
        <f t="array" ref="E11">IF(E12&lt;&gt;"",INDEX(AbilityParams!$1:$1,0,MATCH(E12,AbilityParams!$2:$2,0)),"")</f>
        <v/>
      </c>
      <c r="F11" s="280" t="str" cm="1">
        <f t="array" ref="F11">IF(F12&lt;&gt;"",INDEX(AbilityParams!$1:$1,0,MATCH(F12,AbilityParams!$2:$2,0)),"")</f>
        <v/>
      </c>
      <c r="G11" s="280" t="str" cm="1">
        <f t="array" ref="G11">IF(G12&lt;&gt;"",INDEX(AbilityParams!$1:$1,0,MATCH(G12,AbilityParams!$2:$2,0)),"")</f>
        <v/>
      </c>
      <c r="H11" s="280" t="str" cm="1">
        <f t="array" ref="H11">IF(H12&lt;&gt;"",INDEX(AbilityParams!$1:$1,0,MATCH(H12,AbilityParams!$2:$2,0)),"")</f>
        <v/>
      </c>
      <c r="I11" s="280" t="str" cm="1">
        <f t="array" ref="I11">IF(I12&lt;&gt;"",INDEX(AbilityParams!$1:$1,0,MATCH(I12,AbilityParams!$2:$2,0)),"")</f>
        <v/>
      </c>
      <c r="J11" s="280" t="str" cm="1">
        <f t="array" ref="J11">IF(J12&lt;&gt;"",INDEX(AbilityParams!$1:$1,0,MATCH(J12,AbilityParams!$2:$2,0)),"")</f>
        <v/>
      </c>
      <c r="K11" s="280" t="str" cm="1">
        <f t="array" ref="K11">IF(K12&lt;&gt;"",INDEX(AbilityParams!$1:$1,0,MATCH(K12,AbilityParams!$2:$2,0)),"")</f>
        <v/>
      </c>
      <c r="L11" s="280" t="str" cm="1">
        <f t="array" ref="L11">IF(L12&lt;&gt;"",INDEX(AbilityParams!$1:$1,0,MATCH(L12,AbilityParams!$2:$2,0)),"")</f>
        <v/>
      </c>
      <c r="M11" s="280" t="str" cm="1">
        <f t="array" ref="M11">IF(M12&lt;&gt;"",INDEX(AbilityParams!$1:$1,0,MATCH(M12,AbilityParams!$2:$2,0)),"")</f>
        <v/>
      </c>
      <c r="N11" s="280" t="str" cm="1">
        <f t="array" ref="N11">IF(N12&lt;&gt;"",INDEX(AbilityParams!$1:$1,0,MATCH(N12,AbilityParams!$2:$2,0)),"")</f>
        <v/>
      </c>
      <c r="O11" s="280" t="str" cm="1">
        <f t="array" ref="O11">IF(O12&lt;&gt;"",INDEX(AbilityParams!$1:$1,0,MATCH(O12,AbilityParams!$2:$2,0)),"")</f>
        <v/>
      </c>
      <c r="P11" s="280" t="str" cm="1">
        <f t="array" ref="P11">IF(P12&lt;&gt;"",INDEX(AbilityParams!$1:$1,0,MATCH(P12,AbilityParams!$2:$2,0)),"")</f>
        <v/>
      </c>
      <c r="Q11" s="280" t="str" cm="1">
        <f t="array" ref="Q11">IF(Q12&lt;&gt;"",INDEX(AbilityParams!$1:$1,0,MATCH(Q12,AbilityParams!$2:$2,0)),"")</f>
        <v/>
      </c>
      <c r="R11" s="280" t="str" cm="1">
        <f t="array" ref="R11">IF(R12&lt;&gt;"",INDEX(AbilityParams!$1:$1,0,MATCH(R12,AbilityParams!$2:$2,0)),"")</f>
        <v/>
      </c>
      <c r="S11" s="280" t="s">
        <v>921</v>
      </c>
      <c r="T11" s="282" t="str" cm="1">
        <f t="array" ref="T11">IF(T12&lt;&gt;"",INDEX(AbilityParams!$1:$1,0,MATCH(T12,AbilityParams!$2:$2,0)),"")</f>
        <v/>
      </c>
      <c r="U11" s="280" t="str" cm="1">
        <f t="array" ref="U11">IF(U12&lt;&gt;"",INDEX(AbilityParams!$1:$1,0,MATCH(U12,AbilityParams!$2:$2,0)),"")</f>
        <v/>
      </c>
      <c r="V11" s="280" t="str" cm="1">
        <f t="array" ref="V11">IF(V12&lt;&gt;"",INDEX(AbilityParams!$1:$1,0,MATCH(V12,AbilityParams!$2:$2,0)),"")</f>
        <v/>
      </c>
      <c r="W11" s="280" t="str" cm="1">
        <f t="array" ref="W11">IF(W12&lt;&gt;"",INDEX(AbilityParams!$1:$1,0,MATCH(W12,AbilityParams!$2:$2,0)),"")</f>
        <v/>
      </c>
      <c r="X11" s="280" t="str" cm="1">
        <f t="array" ref="X11">IF(X12&lt;&gt;"",INDEX(AbilityParams!$1:$1,0,MATCH(X12,AbilityParams!$2:$2,0)),"")</f>
        <v/>
      </c>
      <c r="Y11" s="280" t="str" cm="1">
        <f t="array" ref="Y11">IF(Y12&lt;&gt;"",INDEX(AbilityParams!$1:$1,0,MATCH(Y12,AbilityParams!$2:$2,0)),"")</f>
        <v/>
      </c>
      <c r="Z11" s="280" t="str" cm="1">
        <f t="array" ref="Z11">IF(Z12&lt;&gt;"",INDEX(AbilityParams!$1:$1,0,MATCH(Z12,AbilityParams!$2:$2,0)),"")</f>
        <v/>
      </c>
      <c r="AA11" s="280" t="str" cm="1">
        <f t="array" ref="AA11">IF(AA12&lt;&gt;"",INDEX(AbilityParams!$1:$1,0,MATCH(AA12,AbilityParams!$2:$2,0)),"")</f>
        <v/>
      </c>
      <c r="AB11" s="283" t="str" cm="1">
        <f t="array" ref="AB11">IF(AB12&lt;&gt;"",INDEX(AbilityParams!$1:$1,0,MATCH(AB12,AbilityParams!$2:$2,0)),"")</f>
        <v/>
      </c>
      <c r="AC11" s="280" t="str" cm="1">
        <f t="array" ref="AC11">IF(AC12&lt;&gt;"",INDEX(AbilityParams!$1:$1,0,MATCH(AC12,AbilityParams!$2:$2,0)),"")</f>
        <v/>
      </c>
      <c r="AD11" s="280" t="str" cm="1">
        <f t="array" ref="AD11">IF(AD12&lt;&gt;"",INDEX(AbilityParams!$1:$1,0,MATCH(AD12,AbilityParams!$2:$2,0)),"")</f>
        <v/>
      </c>
      <c r="AE11" s="280" t="str" cm="1">
        <f t="array" ref="AE11">IF(AE12&lt;&gt;"",INDEX(AbilityParams!$1:$1,0,MATCH(AE12,AbilityParams!$2:$2,0)),"")</f>
        <v/>
      </c>
      <c r="AF11" s="280" t="str" cm="1">
        <f t="array" ref="AF11">IF(AF12&lt;&gt;"",INDEX(AbilityParams!$1:$1,0,MATCH(AF12,AbilityParams!$2:$2,0)),"")</f>
        <v/>
      </c>
      <c r="AG11" s="284" t="str" cm="1">
        <f t="array" ref="AG11">IF(AG12&lt;&gt;"",INDEX(AbilityParams!$1:$1,0,MATCH(AG12,AbilityParams!$2:$2,0)),"")</f>
        <v/>
      </c>
      <c r="AH11" s="280" t="str" cm="1">
        <f t="array" ref="AH11">IF(AH12&lt;&gt;"",INDEX(AbilityParams!$1:$1,0,MATCH(AH12,AbilityParams!$2:$2,0)),"")</f>
        <v/>
      </c>
      <c r="AI11" s="280" t="str" cm="1">
        <f t="array" ref="AI11">IF(AI12&lt;&gt;"",INDEX(AbilityParams!$1:$1,0,MATCH(AI12,AbilityParams!$2:$2,0)),"")</f>
        <v/>
      </c>
      <c r="AJ11" s="280" t="str" cm="1">
        <f t="array" ref="AJ11">IF(AJ12&lt;&gt;"",INDEX(AbilityParams!$1:$1,0,MATCH(AJ12,AbilityParams!$2:$2,0)),"")</f>
        <v/>
      </c>
      <c r="AK11" s="280" t="str" cm="1">
        <f t="array" ref="AK11">IF(AK12&lt;&gt;"",INDEX(AbilityParams!$1:$1,0,MATCH(AK12,AbilityParams!$2:$2,0)),"")</f>
        <v/>
      </c>
      <c r="AL11" s="285" t="str" cm="1">
        <f t="array" ref="AL11">IF(AL12&lt;&gt;"",INDEX(AbilityParams!$1:$1,0,MATCH(AL12,AbilityParams!$2:$2,0)),"")</f>
        <v/>
      </c>
      <c r="AM11" s="280" t="str" cm="1">
        <f t="array" ref="AM11">IF(AM12&lt;&gt;"",INDEX(AbilityParams!$1:$1,0,MATCH(AM12,AbilityParams!$2:$2,0)),"")</f>
        <v/>
      </c>
      <c r="AN11" s="286"/>
    </row>
    <row r="12" spans="1:41" s="287" customFormat="1">
      <c r="A12" s="287" t="s">
        <v>883</v>
      </c>
      <c r="B12" s="287" t="s">
        <v>723</v>
      </c>
      <c r="C12" s="288"/>
      <c r="D12" s="296" t="str" cm="1">
        <f t="array" ref="D12">IF(D13&lt;&gt;"",INDEX(AbilityParams!$1:$1,0,MATCH(D13,AbilityParams!$2:$2,0)),"")</f>
        <v/>
      </c>
      <c r="E12" s="289"/>
      <c r="F12" s="289"/>
      <c r="G12" s="289"/>
      <c r="H12" s="289"/>
      <c r="I12" s="289"/>
      <c r="J12" s="289"/>
      <c r="K12" s="289"/>
      <c r="L12" s="289"/>
      <c r="M12" s="289"/>
      <c r="N12" s="289"/>
      <c r="O12" s="289"/>
      <c r="P12" s="289"/>
      <c r="Q12" s="289"/>
      <c r="R12" s="289"/>
      <c r="S12" s="289"/>
      <c r="T12" s="290"/>
      <c r="U12" s="289"/>
      <c r="V12" s="289"/>
      <c r="W12" s="289"/>
      <c r="X12" s="289"/>
      <c r="Y12" s="289"/>
      <c r="Z12" s="289"/>
      <c r="AA12" s="289"/>
      <c r="AB12" s="291"/>
      <c r="AC12" s="289"/>
      <c r="AD12" s="289"/>
      <c r="AE12" s="289"/>
      <c r="AF12" s="289"/>
      <c r="AG12" s="292"/>
      <c r="AH12" s="289"/>
      <c r="AI12" s="289"/>
      <c r="AJ12" s="289"/>
      <c r="AK12" s="289"/>
      <c r="AL12" s="293"/>
      <c r="AM12" s="289"/>
      <c r="AN12" s="295"/>
    </row>
    <row r="13" spans="1:41" s="280" customFormat="1">
      <c r="A13" s="280" t="s">
        <v>887</v>
      </c>
      <c r="B13" s="280" t="s">
        <v>886</v>
      </c>
      <c r="C13" s="281" t="str" cm="1">
        <f t="array" ref="C13">IF(C14&lt;&gt;"",INDEX(AbilityParams!$1:$1,0,MATCH(C14,AbilityParams!$2:$2,0)),"")</f>
        <v/>
      </c>
      <c r="D13" s="280" t="str" cm="1">
        <f t="array" ref="D13">IF(D14&lt;&gt;"",INDEX(AbilityParams!$1:$1,0,MATCH(D14,AbilityParams!$2:$2,0)),"")</f>
        <v/>
      </c>
      <c r="E13" s="280" t="str" cm="1">
        <f t="array" ref="E13">IF(E14&lt;&gt;"",INDEX(AbilityParams!$1:$1,0,MATCH(E14,AbilityParams!$2:$2,0)),"")</f>
        <v/>
      </c>
      <c r="F13" s="280" t="str" cm="1">
        <f t="array" ref="F13">IF(F14&lt;&gt;"",INDEX(AbilityParams!$1:$1,0,MATCH(F14,AbilityParams!$2:$2,0)),"")</f>
        <v/>
      </c>
      <c r="G13" s="280" t="str" cm="1">
        <f t="array" ref="G13">IF(G14&lt;&gt;"",INDEX(AbilityParams!$1:$1,0,MATCH(G14,AbilityParams!$2:$2,0)),"")</f>
        <v/>
      </c>
      <c r="H13" s="280" t="str" cm="1">
        <f t="array" ref="H13">IF(H14&lt;&gt;"",INDEX(AbilityParams!$1:$1,0,MATCH(H14,AbilityParams!$2:$2,0)),"")</f>
        <v/>
      </c>
      <c r="I13" s="280" t="str" cm="1">
        <f t="array" ref="I13">IF(I14&lt;&gt;"",INDEX(AbilityParams!$1:$1,0,MATCH(I14,AbilityParams!$2:$2,0)),"")</f>
        <v/>
      </c>
      <c r="J13" s="280" t="str" cm="1">
        <f t="array" ref="J13">IF(J14&lt;&gt;"",INDEX(AbilityParams!$1:$1,0,MATCH(J14,AbilityParams!$2:$2,0)),"")</f>
        <v/>
      </c>
      <c r="K13" s="280" t="str" cm="1">
        <f t="array" ref="K13">IF(K14&lt;&gt;"",INDEX(AbilityParams!$1:$1,0,MATCH(K14,AbilityParams!$2:$2,0)),"")</f>
        <v/>
      </c>
      <c r="L13" s="280" t="str" cm="1">
        <f t="array" ref="L13">IF(L14&lt;&gt;"",INDEX(AbilityParams!$1:$1,0,MATCH(L14,AbilityParams!$2:$2,0)),"")</f>
        <v/>
      </c>
      <c r="M13" s="280" t="str" cm="1">
        <f t="array" ref="M13">IF(M14&lt;&gt;"",INDEX(AbilityParams!$1:$1,0,MATCH(M14,AbilityParams!$2:$2,0)),"")</f>
        <v/>
      </c>
      <c r="N13" s="280" t="str" cm="1">
        <f t="array" ref="N13">IF(N14&lt;&gt;"",INDEX(AbilityParams!$1:$1,0,MATCH(N14,AbilityParams!$2:$2,0)),"")</f>
        <v/>
      </c>
      <c r="O13" s="280" t="str" cm="1">
        <f t="array" ref="O13">IF(O14&lt;&gt;"",INDEX(AbilityParams!$1:$1,0,MATCH(O14,AbilityParams!$2:$2,0)),"")</f>
        <v/>
      </c>
      <c r="P13" s="280" t="str" cm="1">
        <f t="array" ref="P13">IF(P14&lt;&gt;"",INDEX(AbilityParams!$1:$1,0,MATCH(P14,AbilityParams!$2:$2,0)),"")</f>
        <v/>
      </c>
      <c r="Q13" s="280" t="str" cm="1">
        <f t="array" ref="Q13">IF(Q14&lt;&gt;"",INDEX(AbilityParams!$1:$1,0,MATCH(Q14,AbilityParams!$2:$2,0)),"")</f>
        <v/>
      </c>
      <c r="R13" s="280" t="str" cm="1">
        <f t="array" ref="R13">IF(R14&lt;&gt;"",INDEX(AbilityParams!$1:$1,0,MATCH(R14,AbilityParams!$2:$2,0)),"")</f>
        <v/>
      </c>
      <c r="S13" s="280" t="s">
        <v>921</v>
      </c>
      <c r="T13" s="282" t="str" cm="1">
        <f t="array" ref="T13">IF(T14&lt;&gt;"",INDEX(AbilityParams!$1:$1,0,MATCH(T14,AbilityParams!$2:$2,0)),"")</f>
        <v/>
      </c>
      <c r="U13" s="280" t="str" cm="1">
        <f t="array" ref="U13">IF(U14&lt;&gt;"",INDEX(AbilityParams!$1:$1,0,MATCH(U14,AbilityParams!$2:$2,0)),"")</f>
        <v/>
      </c>
      <c r="V13" s="280" t="str" cm="1">
        <f t="array" ref="V13">IF(V14&lt;&gt;"",INDEX(AbilityParams!$1:$1,0,MATCH(V14,AbilityParams!$2:$2,0)),"")</f>
        <v/>
      </c>
      <c r="W13" s="280" t="str" cm="1">
        <f t="array" ref="W13">IF(W14&lt;&gt;"",INDEX(AbilityParams!$1:$1,0,MATCH(W14,AbilityParams!$2:$2,0)),"")</f>
        <v/>
      </c>
      <c r="X13" s="280" t="str" cm="1">
        <f t="array" ref="X13">IF(X14&lt;&gt;"",INDEX(AbilityParams!$1:$1,0,MATCH(X14,AbilityParams!$2:$2,0)),"")</f>
        <v/>
      </c>
      <c r="Y13" s="280" t="str" cm="1">
        <f t="array" ref="Y13">IF(Y14&lt;&gt;"",INDEX(AbilityParams!$1:$1,0,MATCH(Y14,AbilityParams!$2:$2,0)),"")</f>
        <v/>
      </c>
      <c r="Z13" s="280" t="str" cm="1">
        <f t="array" ref="Z13">IF(Z14&lt;&gt;"",INDEX(AbilityParams!$1:$1,0,MATCH(Z14,AbilityParams!$2:$2,0)),"")</f>
        <v/>
      </c>
      <c r="AA13" s="280" t="str" cm="1">
        <f t="array" ref="AA13">IF(AA14&lt;&gt;"",INDEX(AbilityParams!$1:$1,0,MATCH(AA14,AbilityParams!$2:$2,0)),"")</f>
        <v/>
      </c>
      <c r="AB13" s="283" t="str" cm="1">
        <f t="array" ref="AB13">IF(AB14&lt;&gt;"",INDEX(AbilityParams!$1:$1,0,MATCH(AB14,AbilityParams!$2:$2,0)),"")</f>
        <v/>
      </c>
      <c r="AC13" s="280" t="str" cm="1">
        <f t="array" ref="AC13">IF(AC14&lt;&gt;"",INDEX(AbilityParams!$1:$1,0,MATCH(AC14,AbilityParams!$2:$2,0)),"")</f>
        <v/>
      </c>
      <c r="AD13" s="280" t="str" cm="1">
        <f t="array" ref="AD13">IF(AD14&lt;&gt;"",INDEX(AbilityParams!$1:$1,0,MATCH(AD14,AbilityParams!$2:$2,0)),"")</f>
        <v/>
      </c>
      <c r="AE13" s="280" t="str" cm="1">
        <f t="array" ref="AE13">IF(AE14&lt;&gt;"",INDEX(AbilityParams!$1:$1,0,MATCH(AE14,AbilityParams!$2:$2,0)),"")</f>
        <v/>
      </c>
      <c r="AF13" s="280" t="str" cm="1">
        <f t="array" ref="AF13">IF(AF14&lt;&gt;"",INDEX(AbilityParams!$1:$1,0,MATCH(AF14,AbilityParams!$2:$2,0)),"")</f>
        <v/>
      </c>
      <c r="AG13" s="284" t="str" cm="1">
        <f t="array" ref="AG13">IF(AG14&lt;&gt;"",INDEX(AbilityParams!$1:$1,0,MATCH(AG14,AbilityParams!$2:$2,0)),"")</f>
        <v/>
      </c>
      <c r="AH13" s="280" t="str" cm="1">
        <f t="array" ref="AH13">IF(AH14&lt;&gt;"",INDEX(AbilityParams!$1:$1,0,MATCH(AH14,AbilityParams!$2:$2,0)),"")</f>
        <v/>
      </c>
      <c r="AI13" s="280" t="str" cm="1">
        <f t="array" ref="AI13">IF(AI14&lt;&gt;"",INDEX(AbilityParams!$1:$1,0,MATCH(AI14,AbilityParams!$2:$2,0)),"")</f>
        <v/>
      </c>
      <c r="AJ13" s="280" t="str" cm="1">
        <f t="array" ref="AJ13">IF(AJ14&lt;&gt;"",INDEX(AbilityParams!$1:$1,0,MATCH(AJ14,AbilityParams!$2:$2,0)),"")</f>
        <v/>
      </c>
      <c r="AK13" s="280" t="str" cm="1">
        <f t="array" ref="AK13">IF(AK14&lt;&gt;"",INDEX(AbilityParams!$1:$1,0,MATCH(AK14,AbilityParams!$2:$2,0)),"")</f>
        <v/>
      </c>
      <c r="AL13" s="285" t="str" cm="1">
        <f t="array" ref="AL13">IF(AL14&lt;&gt;"",INDEX(AbilityParams!$1:$1,0,MATCH(AL14,AbilityParams!$2:$2,0)),"")</f>
        <v/>
      </c>
      <c r="AM13" s="280" t="str" cm="1">
        <f t="array" ref="AM13">IF(AM14&lt;&gt;"",INDEX(AbilityParams!$1:$1,0,MATCH(AM14,AbilityParams!$2:$2,0)),"")</f>
        <v/>
      </c>
      <c r="AN13" s="286"/>
    </row>
    <row r="14" spans="1:41" s="289" customFormat="1">
      <c r="A14" s="287" t="s">
        <v>883</v>
      </c>
      <c r="B14" s="287" t="s">
        <v>723</v>
      </c>
      <c r="C14" s="288"/>
      <c r="T14" s="290"/>
      <c r="AB14" s="291"/>
      <c r="AG14" s="292"/>
      <c r="AL14" s="293"/>
      <c r="AN14" s="294"/>
    </row>
    <row r="15" spans="1:41" s="280" customFormat="1">
      <c r="A15" s="280" t="s">
        <v>888</v>
      </c>
      <c r="B15" s="280" t="s">
        <v>886</v>
      </c>
      <c r="C15" s="281" t="str" cm="1">
        <f t="array" ref="C15">IF(C16&lt;&gt;"",INDEX(AbilityParams!$1:$1,0,MATCH(C16,AbilityParams!$2:$2,0)),"")</f>
        <v/>
      </c>
      <c r="D15" s="280" t="str" cm="1">
        <f t="array" ref="D15">IF(D16&lt;&gt;"",INDEX(AbilityParams!$1:$1,0,MATCH(D16,AbilityParams!$2:$2,0)),"")</f>
        <v/>
      </c>
      <c r="E15" s="280" t="str" cm="1">
        <f t="array" ref="E15">IF(E16&lt;&gt;"",INDEX(AbilityParams!$1:$1,0,MATCH(E16,AbilityParams!$2:$2,0)),"")</f>
        <v/>
      </c>
      <c r="F15" s="280" t="str" cm="1">
        <f t="array" ref="F15">IF(F16&lt;&gt;"",INDEX(AbilityParams!$1:$1,0,MATCH(F16,AbilityParams!$2:$2,0)),"")</f>
        <v/>
      </c>
      <c r="G15" s="280" t="str" cm="1">
        <f t="array" ref="G15">IF(G16&lt;&gt;"",INDEX(AbilityParams!$1:$1,0,MATCH(G16,AbilityParams!$2:$2,0)),"")</f>
        <v/>
      </c>
      <c r="H15" s="280" t="str" cm="1">
        <f t="array" ref="H15">IF(H16&lt;&gt;"",INDEX(AbilityParams!$1:$1,0,MATCH(H16,AbilityParams!$2:$2,0)),"")</f>
        <v/>
      </c>
      <c r="I15" s="280" t="str" cm="1">
        <f t="array" ref="I15">IF(I16&lt;&gt;"",INDEX(AbilityParams!$1:$1,0,MATCH(I16,AbilityParams!$2:$2,0)),"")</f>
        <v/>
      </c>
      <c r="J15" s="280" t="str" cm="1">
        <f t="array" ref="J15">IF(J16&lt;&gt;"",INDEX(AbilityParams!$1:$1,0,MATCH(J16,AbilityParams!$2:$2,0)),"")</f>
        <v/>
      </c>
      <c r="K15" s="280" t="str" cm="1">
        <f t="array" ref="K15">IF(K16&lt;&gt;"",INDEX(AbilityParams!$1:$1,0,MATCH(K16,AbilityParams!$2:$2,0)),"")</f>
        <v/>
      </c>
      <c r="L15" s="280" t="str" cm="1">
        <f t="array" ref="L15">IF(L16&lt;&gt;"",INDEX(AbilityParams!$1:$1,0,MATCH(L16,AbilityParams!$2:$2,0)),"")</f>
        <v/>
      </c>
      <c r="M15" s="280" t="str" cm="1">
        <f t="array" ref="M15">IF(M16&lt;&gt;"",INDEX(AbilityParams!$1:$1,0,MATCH(M16,AbilityParams!$2:$2,0)),"")</f>
        <v/>
      </c>
      <c r="N15" s="280" t="str" cm="1">
        <f t="array" ref="N15">IF(N16&lt;&gt;"",INDEX(AbilityParams!$1:$1,0,MATCH(N16,AbilityParams!$2:$2,0)),"")</f>
        <v/>
      </c>
      <c r="O15" s="280" t="str" cm="1">
        <f t="array" ref="O15">IF(O16&lt;&gt;"",INDEX(AbilityParams!$1:$1,0,MATCH(O16,AbilityParams!$2:$2,0)),"")</f>
        <v/>
      </c>
      <c r="P15" s="280" t="str" cm="1">
        <f t="array" ref="P15">IF(P16&lt;&gt;"",INDEX(AbilityParams!$1:$1,0,MATCH(P16,AbilityParams!$2:$2,0)),"")</f>
        <v/>
      </c>
      <c r="Q15" s="280" t="str" cm="1">
        <f t="array" ref="Q15">IF(Q16&lt;&gt;"",INDEX(AbilityParams!$1:$1,0,MATCH(Q16,AbilityParams!$2:$2,0)),"")</f>
        <v/>
      </c>
      <c r="R15" s="280" t="str" cm="1">
        <f t="array" ref="R15">IF(R16&lt;&gt;"",INDEX(AbilityParams!$1:$1,0,MATCH(R16,AbilityParams!$2:$2,0)),"")</f>
        <v/>
      </c>
      <c r="S15" s="280" t="s">
        <v>921</v>
      </c>
      <c r="T15" s="282" t="str" cm="1">
        <f t="array" ref="T15">IF(T16&lt;&gt;"",INDEX(AbilityParams!$1:$1,0,MATCH(T16,AbilityParams!$2:$2,0)),"")</f>
        <v/>
      </c>
      <c r="U15" s="280" t="str" cm="1">
        <f t="array" ref="U15">IF(U16&lt;&gt;"",INDEX(AbilityParams!$1:$1,0,MATCH(U16,AbilityParams!$2:$2,0)),"")</f>
        <v/>
      </c>
      <c r="V15" s="280" t="str" cm="1">
        <f t="array" ref="V15">IF(V16&lt;&gt;"",INDEX(AbilityParams!$1:$1,0,MATCH(V16,AbilityParams!$2:$2,0)),"")</f>
        <v/>
      </c>
      <c r="W15" s="280" t="str" cm="1">
        <f t="array" ref="W15">IF(W16&lt;&gt;"",INDEX(AbilityParams!$1:$1,0,MATCH(W16,AbilityParams!$2:$2,0)),"")</f>
        <v/>
      </c>
      <c r="X15" s="280" t="str" cm="1">
        <f t="array" ref="X15">IF(X16&lt;&gt;"",INDEX(AbilityParams!$1:$1,0,MATCH(X16,AbilityParams!$2:$2,0)),"")</f>
        <v/>
      </c>
      <c r="Y15" s="280" t="str" cm="1">
        <f t="array" ref="Y15">IF(Y16&lt;&gt;"",INDEX(AbilityParams!$1:$1,0,MATCH(Y16,AbilityParams!$2:$2,0)),"")</f>
        <v/>
      </c>
      <c r="Z15" s="280" t="str" cm="1">
        <f t="array" ref="Z15">IF(Z16&lt;&gt;"",INDEX(AbilityParams!$1:$1,0,MATCH(Z16,AbilityParams!$2:$2,0)),"")</f>
        <v/>
      </c>
      <c r="AA15" s="280" t="str" cm="1">
        <f t="array" ref="AA15">IF(AA16&lt;&gt;"",INDEX(AbilityParams!$1:$1,0,MATCH(AA16,AbilityParams!$2:$2,0)),"")</f>
        <v/>
      </c>
      <c r="AB15" s="283" t="str" cm="1">
        <f t="array" ref="AB15">IF(AB16&lt;&gt;"",INDEX(AbilityParams!$1:$1,0,MATCH(AB16,AbilityParams!$2:$2,0)),"")</f>
        <v/>
      </c>
      <c r="AC15" s="280" t="str" cm="1">
        <f t="array" ref="AC15">IF(AC16&lt;&gt;"",INDEX(AbilityParams!$1:$1,0,MATCH(AC16,AbilityParams!$2:$2,0)),"")</f>
        <v/>
      </c>
      <c r="AD15" s="280" t="str" cm="1">
        <f t="array" ref="AD15">IF(AD16&lt;&gt;"",INDEX(AbilityParams!$1:$1,0,MATCH(AD16,AbilityParams!$2:$2,0)),"")</f>
        <v/>
      </c>
      <c r="AE15" s="280" t="str" cm="1">
        <f t="array" ref="AE15">IF(AE16&lt;&gt;"",INDEX(AbilityParams!$1:$1,0,MATCH(AE16,AbilityParams!$2:$2,0)),"")</f>
        <v/>
      </c>
      <c r="AF15" s="280" t="str" cm="1">
        <f t="array" ref="AF15">IF(AF16&lt;&gt;"",INDEX(AbilityParams!$1:$1,0,MATCH(AF16,AbilityParams!$2:$2,0)),"")</f>
        <v/>
      </c>
      <c r="AG15" s="284" t="str" cm="1">
        <f t="array" ref="AG15">IF(AG16&lt;&gt;"",INDEX(AbilityParams!$1:$1,0,MATCH(AG16,AbilityParams!$2:$2,0)),"")</f>
        <v/>
      </c>
      <c r="AH15" s="280" t="str" cm="1">
        <f t="array" ref="AH15">IF(AH16&lt;&gt;"",INDEX(AbilityParams!$1:$1,0,MATCH(AH16,AbilityParams!$2:$2,0)),"")</f>
        <v/>
      </c>
      <c r="AI15" s="280" t="str" cm="1">
        <f t="array" ref="AI15">IF(AI16&lt;&gt;"",INDEX(AbilityParams!$1:$1,0,MATCH(AI16,AbilityParams!$2:$2,0)),"")</f>
        <v/>
      </c>
      <c r="AJ15" s="280" t="str" cm="1">
        <f t="array" ref="AJ15">IF(AJ16&lt;&gt;"",INDEX(AbilityParams!$1:$1,0,MATCH(AJ16,AbilityParams!$2:$2,0)),"")</f>
        <v/>
      </c>
      <c r="AK15" s="280" t="str" cm="1">
        <f t="array" ref="AK15">IF(AK16&lt;&gt;"",INDEX(AbilityParams!$1:$1,0,MATCH(AK16,AbilityParams!$2:$2,0)),"")</f>
        <v/>
      </c>
      <c r="AL15" s="285" t="str" cm="1">
        <f t="array" ref="AL15">IF(AL16&lt;&gt;"",INDEX(AbilityParams!$1:$1,0,MATCH(AL16,AbilityParams!$2:$2,0)),"")</f>
        <v/>
      </c>
      <c r="AM15" s="280" t="str" cm="1">
        <f t="array" ref="AM15">IF(AM16&lt;&gt;"",INDEX(AbilityParams!$1:$1,0,MATCH(AM16,AbilityParams!$2:$2,0)),"")</f>
        <v/>
      </c>
      <c r="AN15" s="286"/>
    </row>
    <row r="16" spans="1:41" s="287" customFormat="1">
      <c r="A16" s="287" t="s">
        <v>883</v>
      </c>
      <c r="B16" s="287" t="s">
        <v>723</v>
      </c>
      <c r="C16" s="288"/>
      <c r="D16" s="289"/>
      <c r="E16" s="289"/>
      <c r="F16" s="289"/>
      <c r="G16" s="289"/>
      <c r="H16" s="289"/>
      <c r="I16" s="289"/>
      <c r="J16" s="289"/>
      <c r="K16" s="289"/>
      <c r="L16" s="289"/>
      <c r="M16" s="289"/>
      <c r="N16" s="289"/>
      <c r="O16" s="289"/>
      <c r="P16" s="289"/>
      <c r="Q16" s="289"/>
      <c r="R16" s="289"/>
      <c r="S16" s="289"/>
      <c r="T16" s="290"/>
      <c r="U16" s="289"/>
      <c r="V16" s="289"/>
      <c r="W16" s="289"/>
      <c r="X16" s="289"/>
      <c r="Y16" s="289"/>
      <c r="Z16" s="289"/>
      <c r="AA16" s="289"/>
      <c r="AB16" s="291"/>
      <c r="AC16" s="289"/>
      <c r="AD16" s="289"/>
      <c r="AE16" s="289"/>
      <c r="AF16" s="289"/>
      <c r="AG16" s="292"/>
      <c r="AH16" s="289"/>
      <c r="AI16" s="289"/>
      <c r="AJ16" s="289"/>
      <c r="AK16" s="289"/>
      <c r="AL16" s="293"/>
      <c r="AM16" s="289"/>
      <c r="AN16" s="295"/>
    </row>
    <row r="17" spans="1:40" s="280" customFormat="1">
      <c r="A17" s="280" t="s">
        <v>889</v>
      </c>
      <c r="B17" s="280" t="s">
        <v>886</v>
      </c>
      <c r="C17" s="281" t="str" cm="1">
        <f t="array" ref="C17">IF(C18&lt;&gt;"",INDEX(AbilityParams!$1:$1,0,MATCH(C18,AbilityParams!$2:$2,0)),"")</f>
        <v/>
      </c>
      <c r="D17" s="280" t="str" cm="1">
        <f t="array" ref="D17">IF(D18&lt;&gt;"",INDEX(AbilityParams!$1:$1,0,MATCH(D18,AbilityParams!$2:$2,0)),"")</f>
        <v/>
      </c>
      <c r="E17" s="280" t="str" cm="1">
        <f t="array" ref="E17">IF(E18&lt;&gt;"",INDEX(AbilityParams!$1:$1,0,MATCH(E18,AbilityParams!$2:$2,0)),"")</f>
        <v/>
      </c>
      <c r="F17" s="280" t="str" cm="1">
        <f t="array" ref="F17">IF(F18&lt;&gt;"",INDEX(AbilityParams!$1:$1,0,MATCH(F18,AbilityParams!$2:$2,0)),"")</f>
        <v/>
      </c>
      <c r="G17" s="280" t="str" cm="1">
        <f t="array" ref="G17">IF(G18&lt;&gt;"",INDEX(AbilityParams!$1:$1,0,MATCH(G18,AbilityParams!$2:$2,0)),"")</f>
        <v/>
      </c>
      <c r="H17" s="280" t="str" cm="1">
        <f t="array" ref="H17">IF(H18&lt;&gt;"",INDEX(AbilityParams!$1:$1,0,MATCH(H18,AbilityParams!$2:$2,0)),"")</f>
        <v/>
      </c>
      <c r="I17" s="280" t="str" cm="1">
        <f t="array" ref="I17">IF(I18&lt;&gt;"",INDEX(AbilityParams!$1:$1,0,MATCH(I18,AbilityParams!$2:$2,0)),"")</f>
        <v/>
      </c>
      <c r="J17" s="280" t="str" cm="1">
        <f t="array" ref="J17">IF(J18&lt;&gt;"",INDEX(AbilityParams!$1:$1,0,MATCH(J18,AbilityParams!$2:$2,0)),"")</f>
        <v/>
      </c>
      <c r="K17" s="280" t="str" cm="1">
        <f t="array" ref="K17">IF(K18&lt;&gt;"",INDEX(AbilityParams!$1:$1,0,MATCH(K18,AbilityParams!$2:$2,0)),"")</f>
        <v/>
      </c>
      <c r="L17" s="280" t="str" cm="1">
        <f t="array" ref="L17">IF(L18&lt;&gt;"",INDEX(AbilityParams!$1:$1,0,MATCH(L18,AbilityParams!$2:$2,0)),"")</f>
        <v/>
      </c>
      <c r="M17" s="280" t="str" cm="1">
        <f t="array" ref="M17">IF(M18&lt;&gt;"",INDEX(AbilityParams!$1:$1,0,MATCH(M18,AbilityParams!$2:$2,0)),"")</f>
        <v/>
      </c>
      <c r="N17" s="280" t="str" cm="1">
        <f t="array" ref="N17">IF(N18&lt;&gt;"",INDEX(AbilityParams!$1:$1,0,MATCH(N18,AbilityParams!$2:$2,0)),"")</f>
        <v/>
      </c>
      <c r="O17" s="280" t="str" cm="1">
        <f t="array" ref="O17">IF(O18&lt;&gt;"",INDEX(AbilityParams!$1:$1,0,MATCH(O18,AbilityParams!$2:$2,0)),"")</f>
        <v/>
      </c>
      <c r="P17" s="280" t="str" cm="1">
        <f t="array" ref="P17">IF(P18&lt;&gt;"",INDEX(AbilityParams!$1:$1,0,MATCH(P18,AbilityParams!$2:$2,0)),"")</f>
        <v/>
      </c>
      <c r="Q17" s="280" t="str" cm="1">
        <f t="array" ref="Q17">IF(Q18&lt;&gt;"",INDEX(AbilityParams!$1:$1,0,MATCH(Q18,AbilityParams!$2:$2,0)),"")</f>
        <v/>
      </c>
      <c r="R17" s="280" t="str" cm="1">
        <f t="array" ref="R17">IF(R18&lt;&gt;"",INDEX(AbilityParams!$1:$1,0,MATCH(R18,AbilityParams!$2:$2,0)),"")</f>
        <v/>
      </c>
      <c r="S17" s="280" t="s">
        <v>921</v>
      </c>
      <c r="T17" s="282" t="str" cm="1">
        <f t="array" ref="T17">IF(T18&lt;&gt;"",INDEX(AbilityParams!$1:$1,0,MATCH(T18,AbilityParams!$2:$2,0)),"")</f>
        <v/>
      </c>
      <c r="U17" s="280" t="str" cm="1">
        <f t="array" ref="U17">IF(U18&lt;&gt;"",INDEX(AbilityParams!$1:$1,0,MATCH(U18,AbilityParams!$2:$2,0)),"")</f>
        <v/>
      </c>
      <c r="V17" s="280" t="str" cm="1">
        <f t="array" ref="V17">IF(V18&lt;&gt;"",INDEX(AbilityParams!$1:$1,0,MATCH(V18,AbilityParams!$2:$2,0)),"")</f>
        <v/>
      </c>
      <c r="W17" s="280" t="str" cm="1">
        <f t="array" ref="W17">IF(W18&lt;&gt;"",INDEX(AbilityParams!$1:$1,0,MATCH(W18,AbilityParams!$2:$2,0)),"")</f>
        <v/>
      </c>
      <c r="X17" s="280" t="str" cm="1">
        <f t="array" ref="X17">IF(X18&lt;&gt;"",INDEX(AbilityParams!$1:$1,0,MATCH(X18,AbilityParams!$2:$2,0)),"")</f>
        <v/>
      </c>
      <c r="Y17" s="280" t="str" cm="1">
        <f t="array" ref="Y17">IF(Y18&lt;&gt;"",INDEX(AbilityParams!$1:$1,0,MATCH(Y18,AbilityParams!$2:$2,0)),"")</f>
        <v/>
      </c>
      <c r="Z17" s="280" t="str" cm="1">
        <f t="array" ref="Z17">IF(Z18&lt;&gt;"",INDEX(AbilityParams!$1:$1,0,MATCH(Z18,AbilityParams!$2:$2,0)),"")</f>
        <v/>
      </c>
      <c r="AA17" s="280" t="str" cm="1">
        <f t="array" ref="AA17">IF(AA18&lt;&gt;"",INDEX(AbilityParams!$1:$1,0,MATCH(AA18,AbilityParams!$2:$2,0)),"")</f>
        <v/>
      </c>
      <c r="AB17" s="283" t="str" cm="1">
        <f t="array" ref="AB17">IF(AB18&lt;&gt;"",INDEX(AbilityParams!$1:$1,0,MATCH(AB18,AbilityParams!$2:$2,0)),"")</f>
        <v/>
      </c>
      <c r="AC17" s="280" t="str" cm="1">
        <f t="array" ref="AC17">IF(AC18&lt;&gt;"",INDEX(AbilityParams!$1:$1,0,MATCH(AC18,AbilityParams!$2:$2,0)),"")</f>
        <v/>
      </c>
      <c r="AD17" s="280" t="str" cm="1">
        <f t="array" ref="AD17">IF(AD18&lt;&gt;"",INDEX(AbilityParams!$1:$1,0,MATCH(AD18,AbilityParams!$2:$2,0)),"")</f>
        <v/>
      </c>
      <c r="AE17" s="280" t="str" cm="1">
        <f t="array" ref="AE17">IF(AE18&lt;&gt;"",INDEX(AbilityParams!$1:$1,0,MATCH(AE18,AbilityParams!$2:$2,0)),"")</f>
        <v/>
      </c>
      <c r="AF17" s="280" t="str" cm="1">
        <f t="array" ref="AF17">IF(AF18&lt;&gt;"",INDEX(AbilityParams!$1:$1,0,MATCH(AF18,AbilityParams!$2:$2,0)),"")</f>
        <v/>
      </c>
      <c r="AG17" s="284" t="str" cm="1">
        <f t="array" ref="AG17">IF(AG18&lt;&gt;"",INDEX(AbilityParams!$1:$1,0,MATCH(AG18,AbilityParams!$2:$2,0)),"")</f>
        <v/>
      </c>
      <c r="AH17" s="280" t="str" cm="1">
        <f t="array" ref="AH17">IF(AH18&lt;&gt;"",INDEX(AbilityParams!$1:$1,0,MATCH(AH18,AbilityParams!$2:$2,0)),"")</f>
        <v/>
      </c>
      <c r="AI17" s="280" t="str" cm="1">
        <f t="array" ref="AI17">IF(AI18&lt;&gt;"",INDEX(AbilityParams!$1:$1,0,MATCH(AI18,AbilityParams!$2:$2,0)),"")</f>
        <v/>
      </c>
      <c r="AJ17" s="280" t="str" cm="1">
        <f t="array" ref="AJ17">IF(AJ18&lt;&gt;"",INDEX(AbilityParams!$1:$1,0,MATCH(AJ18,AbilityParams!$2:$2,0)),"")</f>
        <v/>
      </c>
      <c r="AK17" s="280" t="str" cm="1">
        <f t="array" ref="AK17">IF(AK18&lt;&gt;"",INDEX(AbilityParams!$1:$1,0,MATCH(AK18,AbilityParams!$2:$2,0)),"")</f>
        <v/>
      </c>
      <c r="AL17" s="285" t="str" cm="1">
        <f t="array" ref="AL17">IF(AL18&lt;&gt;"",INDEX(AbilityParams!$1:$1,0,MATCH(AL18,AbilityParams!$2:$2,0)),"")</f>
        <v/>
      </c>
      <c r="AM17" s="280" t="str" cm="1">
        <f t="array" ref="AM17">IF(AM18&lt;&gt;"",INDEX(AbilityParams!$1:$1,0,MATCH(AM18,AbilityParams!$2:$2,0)),"")</f>
        <v/>
      </c>
      <c r="AN17" s="286"/>
    </row>
    <row r="18" spans="1:40" s="289" customFormat="1">
      <c r="A18" s="287" t="s">
        <v>883</v>
      </c>
      <c r="B18" s="287" t="s">
        <v>723</v>
      </c>
      <c r="C18" s="288"/>
      <c r="T18" s="290"/>
      <c r="AB18" s="291"/>
      <c r="AG18" s="292"/>
      <c r="AL18" s="293"/>
      <c r="AN18" s="294"/>
    </row>
    <row r="19" spans="1:40" s="280" customFormat="1">
      <c r="A19" s="280" t="s">
        <v>890</v>
      </c>
      <c r="B19" s="280" t="s">
        <v>886</v>
      </c>
      <c r="C19" s="281"/>
      <c r="D19" s="280" t="str" cm="1">
        <f t="array" ref="D19">IF(D20&lt;&gt;"",INDEX(AbilityParams!$1:$1,0,MATCH(D20,AbilityParams!$2:$2,0)),"")</f>
        <v/>
      </c>
      <c r="E19" s="280" t="str" cm="1">
        <f t="array" ref="E19">IF(E20&lt;&gt;"",INDEX(AbilityParams!$1:$1,0,MATCH(E20,AbilityParams!$2:$2,0)),"")</f>
        <v/>
      </c>
      <c r="F19" s="280" t="str" cm="1">
        <f t="array" ref="F19">IF(F20&lt;&gt;"",INDEX(AbilityParams!$1:$1,0,MATCH(F20,AbilityParams!$2:$2,0)),"")</f>
        <v/>
      </c>
      <c r="G19" s="280" t="str" cm="1">
        <f t="array" ref="G19">IF(G20&lt;&gt;"",INDEX(AbilityParams!$1:$1,0,MATCH(G20,AbilityParams!$2:$2,0)),"")</f>
        <v/>
      </c>
      <c r="H19" s="280" t="str" cm="1">
        <f t="array" ref="H19">IF(H20&lt;&gt;"",INDEX(AbilityParams!$1:$1,0,MATCH(H20,AbilityParams!$2:$2,0)),"")</f>
        <v/>
      </c>
      <c r="I19" s="280" t="str" cm="1">
        <f t="array" ref="I19">IF(I20&lt;&gt;"",INDEX(AbilityParams!$1:$1,0,MATCH(I20,AbilityParams!$2:$2,0)),"")</f>
        <v/>
      </c>
      <c r="J19" s="280" t="str" cm="1">
        <f t="array" ref="J19">IF(J20&lt;&gt;"",INDEX(AbilityParams!$1:$1,0,MATCH(J20,AbilityParams!$2:$2,0)),"")</f>
        <v/>
      </c>
      <c r="K19" s="280" t="str" cm="1">
        <f t="array" ref="K19">IF(K20&lt;&gt;"",INDEX(AbilityParams!$1:$1,0,MATCH(K20,AbilityParams!$2:$2,0)),"")</f>
        <v/>
      </c>
      <c r="L19" s="280" t="str" cm="1">
        <f t="array" ref="L19">IF(L20&lt;&gt;"",INDEX(AbilityParams!$1:$1,0,MATCH(L20,AbilityParams!$2:$2,0)),"")</f>
        <v/>
      </c>
      <c r="M19" s="280" t="str" cm="1">
        <f t="array" ref="M19">IF(M20&lt;&gt;"",INDEX(AbilityParams!$1:$1,0,MATCH(M20,AbilityParams!$2:$2,0)),"")</f>
        <v/>
      </c>
      <c r="N19" s="280" t="str" cm="1">
        <f t="array" ref="N19">IF(N20&lt;&gt;"",INDEX(AbilityParams!$1:$1,0,MATCH(N20,AbilityParams!$2:$2,0)),"")</f>
        <v/>
      </c>
      <c r="O19" s="280" t="str" cm="1">
        <f t="array" ref="O19">IF(O20&lt;&gt;"",INDEX(AbilityParams!$1:$1,0,MATCH(O20,AbilityParams!$2:$2,0)),"")</f>
        <v/>
      </c>
      <c r="P19" s="280" t="str" cm="1">
        <f t="array" ref="P19">IF(P20&lt;&gt;"",INDEX(AbilityParams!$1:$1,0,MATCH(P20,AbilityParams!$2:$2,0)),"")</f>
        <v/>
      </c>
      <c r="Q19" s="280" t="str" cm="1">
        <f t="array" ref="Q19">IF(Q20&lt;&gt;"",INDEX(AbilityParams!$1:$1,0,MATCH(Q20,AbilityParams!$2:$2,0)),"")</f>
        <v/>
      </c>
      <c r="R19" s="280" t="str" cm="1">
        <f t="array" ref="R19">IF(R20&lt;&gt;"",INDEX(AbilityParams!$1:$1,0,MATCH(R20,AbilityParams!$2:$2,0)),"")</f>
        <v/>
      </c>
      <c r="S19" s="280" t="s">
        <v>921</v>
      </c>
      <c r="T19" s="282" t="str" cm="1">
        <f t="array" ref="T19">IF(T20&lt;&gt;"",INDEX(AbilityParams!$1:$1,0,MATCH(T20,AbilityParams!$2:$2,0)),"")</f>
        <v/>
      </c>
      <c r="U19" s="280" t="str" cm="1">
        <f t="array" ref="U19">IF(U20&lt;&gt;"",INDEX(AbilityParams!$1:$1,0,MATCH(U20,AbilityParams!$2:$2,0)),"")</f>
        <v/>
      </c>
      <c r="V19" s="280" t="str" cm="1">
        <f t="array" ref="V19">IF(V20&lt;&gt;"",INDEX(AbilityParams!$1:$1,0,MATCH(V20,AbilityParams!$2:$2,0)),"")</f>
        <v/>
      </c>
      <c r="W19" s="280" t="str" cm="1">
        <f t="array" ref="W19">IF(W20&lt;&gt;"",INDEX(AbilityParams!$1:$1,0,MATCH(W20,AbilityParams!$2:$2,0)),"")</f>
        <v/>
      </c>
      <c r="X19" s="280" t="str" cm="1">
        <f t="array" ref="X19">IF(X20&lt;&gt;"",INDEX(AbilityParams!$1:$1,0,MATCH(X20,AbilityParams!$2:$2,0)),"")</f>
        <v/>
      </c>
      <c r="Y19" s="280" t="str" cm="1">
        <f t="array" ref="Y19">IF(Y20&lt;&gt;"",INDEX(AbilityParams!$1:$1,0,MATCH(Y20,AbilityParams!$2:$2,0)),"")</f>
        <v/>
      </c>
      <c r="Z19" s="280" t="str" cm="1">
        <f t="array" ref="Z19">IF(Z20&lt;&gt;"",INDEX(AbilityParams!$1:$1,0,MATCH(Z20,AbilityParams!$2:$2,0)),"")</f>
        <v/>
      </c>
      <c r="AA19" s="280" t="str" cm="1">
        <f t="array" ref="AA19">IF(AA20&lt;&gt;"",INDEX(AbilityParams!$1:$1,0,MATCH(AA20,AbilityParams!$2:$2,0)),"")</f>
        <v/>
      </c>
      <c r="AB19" s="283" t="str" cm="1">
        <f t="array" ref="AB19">IF(AB20&lt;&gt;"",INDEX(AbilityParams!$1:$1,0,MATCH(AB20,AbilityParams!$2:$2,0)),"")</f>
        <v/>
      </c>
      <c r="AC19" s="280" t="str" cm="1">
        <f t="array" ref="AC19">IF(AC20&lt;&gt;"",INDEX(AbilityParams!$1:$1,0,MATCH(AC20,AbilityParams!$2:$2,0)),"")</f>
        <v/>
      </c>
      <c r="AD19" s="280" t="str" cm="1">
        <f t="array" ref="AD19">IF(AD20&lt;&gt;"",INDEX(AbilityParams!$1:$1,0,MATCH(AD20,AbilityParams!$2:$2,0)),"")</f>
        <v/>
      </c>
      <c r="AE19" s="280" t="str" cm="1">
        <f t="array" ref="AE19">IF(AE20&lt;&gt;"",INDEX(AbilityParams!$1:$1,0,MATCH(AE20,AbilityParams!$2:$2,0)),"")</f>
        <v/>
      </c>
      <c r="AF19" s="280" t="str" cm="1">
        <f t="array" ref="AF19">IF(AF20&lt;&gt;"",INDEX(AbilityParams!$1:$1,0,MATCH(AF20,AbilityParams!$2:$2,0)),"")</f>
        <v/>
      </c>
      <c r="AG19" s="284" t="str" cm="1">
        <f t="array" ref="AG19">IF(AG20&lt;&gt;"",INDEX(AbilityParams!$1:$1,0,MATCH(AG20,AbilityParams!$2:$2,0)),"")</f>
        <v/>
      </c>
      <c r="AH19" s="280" t="str" cm="1">
        <f t="array" ref="AH19">IF(AH20&lt;&gt;"",INDEX(AbilityParams!$1:$1,0,MATCH(AH20,AbilityParams!$2:$2,0)),"")</f>
        <v/>
      </c>
      <c r="AI19" s="280" t="str" cm="1">
        <f t="array" ref="AI19">IF(AI20&lt;&gt;"",INDEX(AbilityParams!$1:$1,0,MATCH(AI20,AbilityParams!$2:$2,0)),"")</f>
        <v/>
      </c>
      <c r="AJ19" s="280" t="str" cm="1">
        <f t="array" ref="AJ19">IF(AJ20&lt;&gt;"",INDEX(AbilityParams!$1:$1,0,MATCH(AJ20,AbilityParams!$2:$2,0)),"")</f>
        <v/>
      </c>
      <c r="AK19" s="280" t="str" cm="1">
        <f t="array" ref="AK19">IF(AK20&lt;&gt;"",INDEX(AbilityParams!$1:$1,0,MATCH(AK20,AbilityParams!$2:$2,0)),"")</f>
        <v/>
      </c>
      <c r="AL19" s="285" t="str" cm="1">
        <f t="array" ref="AL19">IF(AL20&lt;&gt;"",INDEX(AbilityParams!$1:$1,0,MATCH(AL20,AbilityParams!$2:$2,0)),"")</f>
        <v/>
      </c>
      <c r="AM19" s="280" t="str" cm="1">
        <f t="array" ref="AM19">IF(AM20&lt;&gt;"",INDEX(AbilityParams!$1:$1,0,MATCH(AM20,AbilityParams!$2:$2,0)),"")</f>
        <v/>
      </c>
      <c r="AN19" s="286"/>
    </row>
    <row r="20" spans="1:40" s="287" customFormat="1">
      <c r="A20" s="287" t="s">
        <v>883</v>
      </c>
      <c r="B20" s="287" t="s">
        <v>723</v>
      </c>
      <c r="C20" s="288"/>
      <c r="D20" s="289"/>
      <c r="E20" s="289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90"/>
      <c r="U20" s="289"/>
      <c r="V20" s="289"/>
      <c r="W20" s="289"/>
      <c r="X20" s="289"/>
      <c r="Y20" s="289"/>
      <c r="Z20" s="289"/>
      <c r="AA20" s="289"/>
      <c r="AB20" s="291"/>
      <c r="AC20" s="289"/>
      <c r="AD20" s="289"/>
      <c r="AE20" s="289"/>
      <c r="AF20" s="289"/>
      <c r="AG20" s="292"/>
      <c r="AH20" s="289"/>
      <c r="AI20" s="289"/>
      <c r="AJ20" s="289"/>
      <c r="AK20" s="289"/>
      <c r="AL20" s="293"/>
      <c r="AM20" s="289"/>
      <c r="AN20" s="295"/>
    </row>
    <row r="21" spans="1:40" s="280" customFormat="1">
      <c r="A21" s="280" t="s">
        <v>891</v>
      </c>
      <c r="B21" s="280" t="s">
        <v>886</v>
      </c>
      <c r="C21" s="281" t="str" cm="1">
        <f t="array" ref="C21">IF(C22&lt;&gt;"",INDEX(AbilityParams!$1:$1,0,MATCH(C22,AbilityParams!$2:$2,0)),"")</f>
        <v/>
      </c>
      <c r="D21" s="280" t="str" cm="1">
        <f t="array" ref="D21">IF(D22&lt;&gt;"",INDEX(AbilityParams!$1:$1,0,MATCH(D22,AbilityParams!$2:$2,0)),"")</f>
        <v/>
      </c>
      <c r="E21" s="280" t="str" cm="1">
        <f t="array" ref="E21">IF(E22&lt;&gt;"",INDEX(AbilityParams!$1:$1,0,MATCH(E22,AbilityParams!$2:$2,0)),"")</f>
        <v/>
      </c>
      <c r="F21" s="280" t="str" cm="1">
        <f t="array" ref="F21">IF(F22&lt;&gt;"",INDEX(AbilityParams!$1:$1,0,MATCH(F22,AbilityParams!$2:$2,0)),"")</f>
        <v/>
      </c>
      <c r="G21" s="280" t="str" cm="1">
        <f t="array" ref="G21">IF(G22&lt;&gt;"",INDEX(AbilityParams!$1:$1,0,MATCH(G22,AbilityParams!$2:$2,0)),"")</f>
        <v/>
      </c>
      <c r="H21" s="280" t="str" cm="1">
        <f t="array" ref="H21">IF(H22&lt;&gt;"",INDEX(AbilityParams!$1:$1,0,MATCH(H22,AbilityParams!$2:$2,0)),"")</f>
        <v/>
      </c>
      <c r="I21" s="280" t="str" cm="1">
        <f t="array" ref="I21">IF(I22&lt;&gt;"",INDEX(AbilityParams!$1:$1,0,MATCH(I22,AbilityParams!$2:$2,0)),"")</f>
        <v/>
      </c>
      <c r="J21" s="280" t="str" cm="1">
        <f t="array" ref="J21">IF(J22&lt;&gt;"",INDEX(AbilityParams!$1:$1,0,MATCH(J22,AbilityParams!$2:$2,0)),"")</f>
        <v/>
      </c>
      <c r="K21" s="280" t="str" cm="1">
        <f t="array" ref="K21">IF(K22&lt;&gt;"",INDEX(AbilityParams!$1:$1,0,MATCH(K22,AbilityParams!$2:$2,0)),"")</f>
        <v/>
      </c>
      <c r="L21" s="280" t="str" cm="1">
        <f t="array" ref="L21">IF(L22&lt;&gt;"",INDEX(AbilityParams!$1:$1,0,MATCH(L22,AbilityParams!$2:$2,0)),"")</f>
        <v/>
      </c>
      <c r="M21" s="280" t="str" cm="1">
        <f t="array" ref="M21">IF(M22&lt;&gt;"",INDEX(AbilityParams!$1:$1,0,MATCH(M22,AbilityParams!$2:$2,0)),"")</f>
        <v/>
      </c>
      <c r="N21" s="280" t="str" cm="1">
        <f t="array" ref="N21">IF(N22&lt;&gt;"",INDEX(AbilityParams!$1:$1,0,MATCH(N22,AbilityParams!$2:$2,0)),"")</f>
        <v/>
      </c>
      <c r="O21" s="280" t="str" cm="1">
        <f t="array" ref="O21">IF(O22&lt;&gt;"",INDEX(AbilityParams!$1:$1,0,MATCH(O22,AbilityParams!$2:$2,0)),"")</f>
        <v/>
      </c>
      <c r="P21" s="280" t="str" cm="1">
        <f t="array" ref="P21">IF(P22&lt;&gt;"",INDEX(AbilityParams!$1:$1,0,MATCH(P22,AbilityParams!$2:$2,0)),"")</f>
        <v/>
      </c>
      <c r="Q21" s="280" t="str" cm="1">
        <f t="array" ref="Q21">IF(Q22&lt;&gt;"",INDEX(AbilityParams!$1:$1,0,MATCH(Q22,AbilityParams!$2:$2,0)),"")</f>
        <v/>
      </c>
      <c r="R21" s="280" t="str" cm="1">
        <f t="array" ref="R21">IF(R22&lt;&gt;"",INDEX(AbilityParams!$1:$1,0,MATCH(R22,AbilityParams!$2:$2,0)),"")</f>
        <v/>
      </c>
      <c r="S21" s="280" t="s">
        <v>921</v>
      </c>
      <c r="T21" s="282" t="str" cm="1">
        <f t="array" ref="T21">IF(T22&lt;&gt;"",INDEX(AbilityParams!$1:$1,0,MATCH(T22,AbilityParams!$2:$2,0)),"")</f>
        <v/>
      </c>
      <c r="U21" s="280" t="str" cm="1">
        <f t="array" ref="U21">IF(U22&lt;&gt;"",INDEX(AbilityParams!$1:$1,0,MATCH(U22,AbilityParams!$2:$2,0)),"")</f>
        <v/>
      </c>
      <c r="V21" s="280" t="str" cm="1">
        <f t="array" ref="V21">IF(V22&lt;&gt;"",INDEX(AbilityParams!$1:$1,0,MATCH(V22,AbilityParams!$2:$2,0)),"")</f>
        <v/>
      </c>
      <c r="W21" s="280" t="str" cm="1">
        <f t="array" ref="W21">IF(W22&lt;&gt;"",INDEX(AbilityParams!$1:$1,0,MATCH(W22,AbilityParams!$2:$2,0)),"")</f>
        <v/>
      </c>
      <c r="X21" s="280" t="str" cm="1">
        <f t="array" ref="X21">IF(X22&lt;&gt;"",INDEX(AbilityParams!$1:$1,0,MATCH(X22,AbilityParams!$2:$2,0)),"")</f>
        <v/>
      </c>
      <c r="Y21" s="280" t="str" cm="1">
        <f t="array" ref="Y21">IF(Y22&lt;&gt;"",INDEX(AbilityParams!$1:$1,0,MATCH(Y22,AbilityParams!$2:$2,0)),"")</f>
        <v/>
      </c>
      <c r="Z21" s="280" t="str" cm="1">
        <f t="array" ref="Z21">IF(Z22&lt;&gt;"",INDEX(AbilityParams!$1:$1,0,MATCH(Z22,AbilityParams!$2:$2,0)),"")</f>
        <v/>
      </c>
      <c r="AA21" s="280" t="str" cm="1">
        <f t="array" ref="AA21">IF(AA22&lt;&gt;"",INDEX(AbilityParams!$1:$1,0,MATCH(AA22,AbilityParams!$2:$2,0)),"")</f>
        <v/>
      </c>
      <c r="AB21" s="283" t="str" cm="1">
        <f t="array" ref="AB21">IF(AB22&lt;&gt;"",INDEX(AbilityParams!$1:$1,0,MATCH(AB22,AbilityParams!$2:$2,0)),"")</f>
        <v/>
      </c>
      <c r="AC21" s="280" t="str" cm="1">
        <f t="array" ref="AC21">IF(AC22&lt;&gt;"",INDEX(AbilityParams!$1:$1,0,MATCH(AC22,AbilityParams!$2:$2,0)),"")</f>
        <v/>
      </c>
      <c r="AD21" s="280" t="str" cm="1">
        <f t="array" ref="AD21">IF(AD22&lt;&gt;"",INDEX(AbilityParams!$1:$1,0,MATCH(AD22,AbilityParams!$2:$2,0)),"")</f>
        <v/>
      </c>
      <c r="AE21" s="280" t="str" cm="1">
        <f t="array" ref="AE21">IF(AE22&lt;&gt;"",INDEX(AbilityParams!$1:$1,0,MATCH(AE22,AbilityParams!$2:$2,0)),"")</f>
        <v/>
      </c>
      <c r="AF21" s="280" t="str" cm="1">
        <f t="array" ref="AF21">IF(AF22&lt;&gt;"",INDEX(AbilityParams!$1:$1,0,MATCH(AF22,AbilityParams!$2:$2,0)),"")</f>
        <v/>
      </c>
      <c r="AG21" s="284" t="str" cm="1">
        <f t="array" ref="AG21">IF(AG22&lt;&gt;"",INDEX(AbilityParams!$1:$1,0,MATCH(AG22,AbilityParams!$2:$2,0)),"")</f>
        <v/>
      </c>
      <c r="AH21" s="280" t="str" cm="1">
        <f t="array" ref="AH21">IF(AH22&lt;&gt;"",INDEX(AbilityParams!$1:$1,0,MATCH(AH22,AbilityParams!$2:$2,0)),"")</f>
        <v/>
      </c>
      <c r="AI21" s="280" t="str" cm="1">
        <f t="array" ref="AI21">IF(AI22&lt;&gt;"",INDEX(AbilityParams!$1:$1,0,MATCH(AI22,AbilityParams!$2:$2,0)),"")</f>
        <v/>
      </c>
      <c r="AJ21" s="280" t="str" cm="1">
        <f t="array" ref="AJ21">IF(AJ22&lt;&gt;"",INDEX(AbilityParams!$1:$1,0,MATCH(AJ22,AbilityParams!$2:$2,0)),"")</f>
        <v/>
      </c>
      <c r="AK21" s="280" t="str" cm="1">
        <f t="array" ref="AK21">IF(AK22&lt;&gt;"",INDEX(AbilityParams!$1:$1,0,MATCH(AK22,AbilityParams!$2:$2,0)),"")</f>
        <v/>
      </c>
      <c r="AL21" s="285" t="str" cm="1">
        <f t="array" ref="AL21">IF(AL22&lt;&gt;"",INDEX(AbilityParams!$1:$1,0,MATCH(AL22,AbilityParams!$2:$2,0)),"")</f>
        <v/>
      </c>
      <c r="AM21" s="280" t="str" cm="1">
        <f t="array" ref="AM21">IF(AM22&lt;&gt;"",INDEX(AbilityParams!$1:$1,0,MATCH(AM22,AbilityParams!$2:$2,0)),"")</f>
        <v/>
      </c>
      <c r="AN21" s="286"/>
    </row>
    <row r="22" spans="1:40" s="289" customFormat="1">
      <c r="A22" s="287" t="s">
        <v>883</v>
      </c>
      <c r="B22" s="287" t="s">
        <v>723</v>
      </c>
      <c r="C22" s="288"/>
      <c r="T22" s="290"/>
      <c r="AB22" s="291"/>
      <c r="AG22" s="292"/>
      <c r="AL22" s="293"/>
      <c r="AN22" s="294"/>
    </row>
    <row r="23" spans="1:40" s="280" customFormat="1">
      <c r="A23" s="280" t="s">
        <v>892</v>
      </c>
      <c r="B23" s="280" t="s">
        <v>886</v>
      </c>
      <c r="C23" s="281" t="str" cm="1">
        <f t="array" ref="C23">IF(C24&lt;&gt;"",INDEX(AbilityParams!$1:$1,0,MATCH(C24,AbilityParams!$2:$2,0)),"")</f>
        <v/>
      </c>
      <c r="D23" s="280" t="str" cm="1">
        <f t="array" ref="D23">IF(D24&lt;&gt;"",INDEX(AbilityParams!$1:$1,0,MATCH(D24,AbilityParams!$2:$2,0)),"")</f>
        <v/>
      </c>
      <c r="E23" s="280" t="str" cm="1">
        <f t="array" ref="E23">IF(E24&lt;&gt;"",INDEX(AbilityParams!$1:$1,0,MATCH(E24,AbilityParams!$2:$2,0)),"")</f>
        <v/>
      </c>
      <c r="F23" s="280" t="str" cm="1">
        <f t="array" ref="F23">IF(F24&lt;&gt;"",INDEX(AbilityParams!$1:$1,0,MATCH(F24,AbilityParams!$2:$2,0)),"")</f>
        <v/>
      </c>
      <c r="G23" s="280" t="str" cm="1">
        <f t="array" ref="G23">IF(G24&lt;&gt;"",INDEX(AbilityParams!$1:$1,0,MATCH(G24,AbilityParams!$2:$2,0)),"")</f>
        <v/>
      </c>
      <c r="H23" s="280" t="str" cm="1">
        <f t="array" ref="H23">IF(H24&lt;&gt;"",INDEX(AbilityParams!$1:$1,0,MATCH(H24,AbilityParams!$2:$2,0)),"")</f>
        <v/>
      </c>
      <c r="I23" s="280" t="str" cm="1">
        <f t="array" ref="I23">IF(I24&lt;&gt;"",INDEX(AbilityParams!$1:$1,0,MATCH(I24,AbilityParams!$2:$2,0)),"")</f>
        <v/>
      </c>
      <c r="J23" s="280" t="str" cm="1">
        <f t="array" ref="J23">IF(J24&lt;&gt;"",INDEX(AbilityParams!$1:$1,0,MATCH(J24,AbilityParams!$2:$2,0)),"")</f>
        <v/>
      </c>
      <c r="K23" s="280" t="str" cm="1">
        <f t="array" ref="K23">IF(K24&lt;&gt;"",INDEX(AbilityParams!$1:$1,0,MATCH(K24,AbilityParams!$2:$2,0)),"")</f>
        <v/>
      </c>
      <c r="L23" s="280" t="str" cm="1">
        <f t="array" ref="L23">IF(L24&lt;&gt;"",INDEX(AbilityParams!$1:$1,0,MATCH(L24,AbilityParams!$2:$2,0)),"")</f>
        <v/>
      </c>
      <c r="M23" s="280" t="str" cm="1">
        <f t="array" ref="M23">IF(M24&lt;&gt;"",INDEX(AbilityParams!$1:$1,0,MATCH(M24,AbilityParams!$2:$2,0)),"")</f>
        <v/>
      </c>
      <c r="N23" s="280" t="str" cm="1">
        <f t="array" ref="N23">IF(N24&lt;&gt;"",INDEX(AbilityParams!$1:$1,0,MATCH(N24,AbilityParams!$2:$2,0)),"")</f>
        <v/>
      </c>
      <c r="O23" s="280" t="str" cm="1">
        <f t="array" ref="O23">IF(O24&lt;&gt;"",INDEX(AbilityParams!$1:$1,0,MATCH(O24,AbilityParams!$2:$2,0)),"")</f>
        <v/>
      </c>
      <c r="P23" s="280" t="str" cm="1">
        <f t="array" ref="P23">IF(P24&lt;&gt;"",INDEX(AbilityParams!$1:$1,0,MATCH(P24,AbilityParams!$2:$2,0)),"")</f>
        <v/>
      </c>
      <c r="Q23" s="280" t="str" cm="1">
        <f t="array" ref="Q23">IF(Q24&lt;&gt;"",INDEX(AbilityParams!$1:$1,0,MATCH(Q24,AbilityParams!$2:$2,0)),"")</f>
        <v/>
      </c>
      <c r="R23" s="280" t="str" cm="1">
        <f t="array" ref="R23">IF(R24&lt;&gt;"",INDEX(AbilityParams!$1:$1,0,MATCH(R24,AbilityParams!$2:$2,0)),"")</f>
        <v/>
      </c>
      <c r="S23" s="280" t="s">
        <v>921</v>
      </c>
      <c r="T23" s="282" t="str" cm="1">
        <f t="array" ref="T23">IF(T24&lt;&gt;"",INDEX(AbilityParams!$1:$1,0,MATCH(T24,AbilityParams!$2:$2,0)),"")</f>
        <v/>
      </c>
      <c r="U23" s="280" t="str" cm="1">
        <f t="array" ref="U23">IF(U24&lt;&gt;"",INDEX(AbilityParams!$1:$1,0,MATCH(U24,AbilityParams!$2:$2,0)),"")</f>
        <v/>
      </c>
      <c r="V23" s="280" t="str" cm="1">
        <f t="array" ref="V23">IF(V24&lt;&gt;"",INDEX(AbilityParams!$1:$1,0,MATCH(V24,AbilityParams!$2:$2,0)),"")</f>
        <v/>
      </c>
      <c r="W23" s="280" t="str" cm="1">
        <f t="array" ref="W23">IF(W24&lt;&gt;"",INDEX(AbilityParams!$1:$1,0,MATCH(W24,AbilityParams!$2:$2,0)),"")</f>
        <v/>
      </c>
      <c r="X23" s="280" t="str" cm="1">
        <f t="array" ref="X23">IF(X24&lt;&gt;"",INDEX(AbilityParams!$1:$1,0,MATCH(X24,AbilityParams!$2:$2,0)),"")</f>
        <v/>
      </c>
      <c r="Y23" s="280" t="str" cm="1">
        <f t="array" ref="Y23">IF(Y24&lt;&gt;"",INDEX(AbilityParams!$1:$1,0,MATCH(Y24,AbilityParams!$2:$2,0)),"")</f>
        <v/>
      </c>
      <c r="Z23" s="280" t="str" cm="1">
        <f t="array" ref="Z23">IF(Z24&lt;&gt;"",INDEX(AbilityParams!$1:$1,0,MATCH(Z24,AbilityParams!$2:$2,0)),"")</f>
        <v/>
      </c>
      <c r="AA23" s="280" t="str" cm="1">
        <f t="array" ref="AA23">IF(AA24&lt;&gt;"",INDEX(AbilityParams!$1:$1,0,MATCH(AA24,AbilityParams!$2:$2,0)),"")</f>
        <v/>
      </c>
      <c r="AB23" s="283" t="str" cm="1">
        <f t="array" ref="AB23">IF(AB24&lt;&gt;"",INDEX(AbilityParams!$1:$1,0,MATCH(AB24,AbilityParams!$2:$2,0)),"")</f>
        <v/>
      </c>
      <c r="AC23" s="280" t="str" cm="1">
        <f t="array" ref="AC23">IF(AC24&lt;&gt;"",INDEX(AbilityParams!$1:$1,0,MATCH(AC24,AbilityParams!$2:$2,0)),"")</f>
        <v/>
      </c>
      <c r="AD23" s="280" t="str" cm="1">
        <f t="array" ref="AD23">IF(AD24&lt;&gt;"",INDEX(AbilityParams!$1:$1,0,MATCH(AD24,AbilityParams!$2:$2,0)),"")</f>
        <v/>
      </c>
      <c r="AE23" s="280" t="str" cm="1">
        <f t="array" ref="AE23">IF(AE24&lt;&gt;"",INDEX(AbilityParams!$1:$1,0,MATCH(AE24,AbilityParams!$2:$2,0)),"")</f>
        <v/>
      </c>
      <c r="AF23" s="280" t="str" cm="1">
        <f t="array" ref="AF23">IF(AF24&lt;&gt;"",INDEX(AbilityParams!$1:$1,0,MATCH(AF24,AbilityParams!$2:$2,0)),"")</f>
        <v/>
      </c>
      <c r="AG23" s="284" t="str" cm="1">
        <f t="array" ref="AG23">IF(AG24&lt;&gt;"",INDEX(AbilityParams!$1:$1,0,MATCH(AG24,AbilityParams!$2:$2,0)),"")</f>
        <v/>
      </c>
      <c r="AH23" s="280" t="str" cm="1">
        <f t="array" ref="AH23">IF(AH24&lt;&gt;"",INDEX(AbilityParams!$1:$1,0,MATCH(AH24,AbilityParams!$2:$2,0)),"")</f>
        <v/>
      </c>
      <c r="AI23" s="280" t="str" cm="1">
        <f t="array" ref="AI23">IF(AI24&lt;&gt;"",INDEX(AbilityParams!$1:$1,0,MATCH(AI24,AbilityParams!$2:$2,0)),"")</f>
        <v/>
      </c>
      <c r="AJ23" s="280" t="str" cm="1">
        <f t="array" ref="AJ23">IF(AJ24&lt;&gt;"",INDEX(AbilityParams!$1:$1,0,MATCH(AJ24,AbilityParams!$2:$2,0)),"")</f>
        <v/>
      </c>
      <c r="AK23" s="280" t="str" cm="1">
        <f t="array" ref="AK23">IF(AK24&lt;&gt;"",INDEX(AbilityParams!$1:$1,0,MATCH(AK24,AbilityParams!$2:$2,0)),"")</f>
        <v/>
      </c>
      <c r="AL23" s="285" t="str" cm="1">
        <f t="array" ref="AL23">IF(AL24&lt;&gt;"",INDEX(AbilityParams!$1:$1,0,MATCH(AL24,AbilityParams!$2:$2,0)),"")</f>
        <v/>
      </c>
      <c r="AM23" s="280" t="str" cm="1">
        <f t="array" ref="AM23">IF(AM24&lt;&gt;"",INDEX(AbilityParams!$1:$1,0,MATCH(AM24,AbilityParams!$2:$2,0)),"")</f>
        <v/>
      </c>
      <c r="AN23" s="286"/>
    </row>
    <row r="24" spans="1:40" s="287" customFormat="1">
      <c r="A24" s="287" t="s">
        <v>883</v>
      </c>
      <c r="B24" s="287" t="s">
        <v>723</v>
      </c>
      <c r="C24" s="288"/>
      <c r="D24" s="289"/>
      <c r="E24" s="289"/>
      <c r="F24" s="289"/>
      <c r="G24" s="289"/>
      <c r="H24" s="289"/>
      <c r="I24" s="289"/>
      <c r="J24" s="289"/>
      <c r="K24" s="289"/>
      <c r="L24" s="289"/>
      <c r="M24" s="289"/>
      <c r="N24" s="289"/>
      <c r="O24" s="289"/>
      <c r="P24" s="289"/>
      <c r="Q24" s="289"/>
      <c r="R24" s="289"/>
      <c r="S24" s="289"/>
      <c r="T24" s="290"/>
      <c r="U24" s="289"/>
      <c r="V24" s="289"/>
      <c r="W24" s="289"/>
      <c r="X24" s="289"/>
      <c r="Y24" s="289"/>
      <c r="Z24" s="289"/>
      <c r="AA24" s="289"/>
      <c r="AB24" s="291"/>
      <c r="AC24" s="289"/>
      <c r="AD24" s="289"/>
      <c r="AE24" s="289"/>
      <c r="AF24" s="289"/>
      <c r="AG24" s="292"/>
      <c r="AH24" s="289"/>
      <c r="AI24" s="289"/>
      <c r="AJ24" s="289"/>
      <c r="AK24" s="289"/>
      <c r="AL24" s="293"/>
      <c r="AM24" s="289"/>
      <c r="AN24" s="295"/>
    </row>
    <row r="25" spans="1:40" s="258" customFormat="1">
      <c r="A25" s="258" t="s">
        <v>672</v>
      </c>
      <c r="B25" s="258" t="s">
        <v>243</v>
      </c>
      <c r="C25" s="259" t="s">
        <v>673</v>
      </c>
      <c r="D25" s="258" t="s">
        <v>674</v>
      </c>
      <c r="E25" s="258" t="s">
        <v>675</v>
      </c>
      <c r="F25" s="258" t="s">
        <v>676</v>
      </c>
      <c r="G25" s="258" t="s">
        <v>677</v>
      </c>
      <c r="H25" s="258" t="s">
        <v>678</v>
      </c>
      <c r="I25" s="258" t="s">
        <v>695</v>
      </c>
      <c r="J25" s="258" t="s">
        <v>679</v>
      </c>
      <c r="K25" s="258" t="s">
        <v>680</v>
      </c>
      <c r="L25" s="265" t="s">
        <v>696</v>
      </c>
      <c r="M25" s="258" t="s">
        <v>697</v>
      </c>
      <c r="N25" s="258" t="s">
        <v>682</v>
      </c>
      <c r="O25" s="258" t="s">
        <v>681</v>
      </c>
      <c r="P25" s="258" t="s">
        <v>688</v>
      </c>
      <c r="Q25" s="258" t="s">
        <v>683</v>
      </c>
      <c r="R25" s="258" t="s">
        <v>684</v>
      </c>
      <c r="S25" s="258" t="s">
        <v>922</v>
      </c>
      <c r="T25" s="260" t="s">
        <v>685</v>
      </c>
      <c r="U25" s="258" t="s">
        <v>686</v>
      </c>
      <c r="V25" s="258" t="s">
        <v>687</v>
      </c>
      <c r="W25" s="258" t="s">
        <v>689</v>
      </c>
      <c r="X25" s="258" t="s">
        <v>690</v>
      </c>
      <c r="Y25" s="258" t="s">
        <v>691</v>
      </c>
      <c r="Z25" s="258" t="s">
        <v>692</v>
      </c>
      <c r="AA25" s="258" t="s">
        <v>713</v>
      </c>
      <c r="AB25" s="261" t="s">
        <v>693</v>
      </c>
      <c r="AC25" s="258" t="s">
        <v>694</v>
      </c>
      <c r="AG25" s="262"/>
      <c r="AL25" s="263"/>
      <c r="AN25" s="264"/>
    </row>
    <row r="26" spans="1:40" s="87" customFormat="1">
      <c r="C26" s="193"/>
      <c r="T26" s="97"/>
      <c r="AB26" s="93"/>
      <c r="AG26" s="102"/>
      <c r="AL26" s="105"/>
      <c r="AN26" s="255"/>
    </row>
    <row r="27" spans="1:40" s="87" customFormat="1">
      <c r="B27" s="2"/>
      <c r="C27" s="193"/>
      <c r="T27" s="97"/>
      <c r="AB27" s="93"/>
      <c r="AG27" s="102"/>
      <c r="AL27" s="105"/>
      <c r="AN27" s="255"/>
    </row>
    <row r="28" spans="1:40" s="87" customFormat="1">
      <c r="C28" s="193"/>
      <c r="T28" s="97"/>
      <c r="AB28" s="93"/>
      <c r="AG28" s="102"/>
      <c r="AL28" s="105"/>
      <c r="AN28" s="255"/>
    </row>
    <row r="29" spans="1:40" s="87" customFormat="1">
      <c r="B29" s="2"/>
      <c r="C29" s="193"/>
      <c r="T29" s="97"/>
      <c r="AB29" s="93"/>
      <c r="AG29" s="102"/>
      <c r="AL29" s="105"/>
      <c r="AN29" s="255"/>
    </row>
    <row r="30" spans="1:40" s="87" customFormat="1">
      <c r="C30" s="193"/>
      <c r="T30" s="97"/>
      <c r="AB30" s="93"/>
      <c r="AG30" s="102"/>
      <c r="AL30" s="105"/>
      <c r="AN30" s="255"/>
    </row>
    <row r="31" spans="1:40" s="87" customFormat="1">
      <c r="C31" s="193"/>
      <c r="T31" s="97"/>
      <c r="AB31" s="93"/>
      <c r="AG31" s="102"/>
      <c r="AL31" s="105"/>
      <c r="AN31" s="255"/>
    </row>
    <row r="32" spans="1:40" s="87" customFormat="1">
      <c r="C32" s="193"/>
      <c r="T32" s="97"/>
      <c r="AB32" s="93"/>
      <c r="AG32" s="102"/>
      <c r="AL32" s="105"/>
      <c r="AN32" s="255"/>
    </row>
    <row r="33" spans="3:40" s="87" customFormat="1">
      <c r="C33" s="193"/>
      <c r="T33" s="97"/>
      <c r="AB33" s="93"/>
      <c r="AG33" s="102"/>
      <c r="AL33" s="105"/>
      <c r="AN33" s="255"/>
    </row>
    <row r="34" spans="3:40" s="87" customFormat="1">
      <c r="C34" s="193"/>
      <c r="T34" s="97"/>
      <c r="AB34" s="93"/>
      <c r="AG34" s="102"/>
      <c r="AL34" s="105"/>
      <c r="AN34" s="255"/>
    </row>
    <row r="35" spans="3:40" s="87" customFormat="1">
      <c r="C35" s="193"/>
      <c r="T35" s="97"/>
      <c r="AB35" s="93"/>
      <c r="AG35" s="102"/>
      <c r="AL35" s="105"/>
      <c r="AN35" s="255"/>
    </row>
    <row r="36" spans="3:40" s="87" customFormat="1">
      <c r="C36" s="193"/>
      <c r="T36" s="97"/>
      <c r="AB36" s="93"/>
      <c r="AG36" s="102"/>
      <c r="AL36" s="105"/>
      <c r="AN36" s="255"/>
    </row>
    <row r="37" spans="3:40" s="87" customFormat="1">
      <c r="C37" s="193"/>
      <c r="T37" s="97"/>
      <c r="AB37" s="93"/>
      <c r="AG37" s="102"/>
      <c r="AL37" s="105"/>
      <c r="AN37" s="255"/>
    </row>
    <row r="38" spans="3:40" s="87" customFormat="1">
      <c r="C38" s="193"/>
      <c r="T38" s="97"/>
      <c r="AB38" s="93"/>
      <c r="AG38" s="102"/>
      <c r="AL38" s="105"/>
      <c r="AN38" s="255"/>
    </row>
    <row r="39" spans="3:40" s="87" customFormat="1">
      <c r="C39" s="193"/>
      <c r="T39" s="97"/>
      <c r="AB39" s="93"/>
      <c r="AG39" s="102"/>
      <c r="AL39" s="105"/>
      <c r="AN39" s="255"/>
    </row>
    <row r="40" spans="3:40" s="87" customFormat="1">
      <c r="C40" s="193"/>
      <c r="T40" s="97"/>
      <c r="AB40" s="93"/>
      <c r="AG40" s="102"/>
      <c r="AL40" s="105"/>
      <c r="AN40" s="255"/>
    </row>
    <row r="41" spans="3:40" s="87" customFormat="1">
      <c r="C41" s="193"/>
      <c r="T41" s="97"/>
      <c r="AB41" s="93"/>
      <c r="AG41" s="102"/>
      <c r="AL41" s="105"/>
      <c r="AN41" s="255"/>
    </row>
    <row r="57" spans="3:40" s="86" customFormat="1">
      <c r="C57" s="194"/>
      <c r="T57" s="96"/>
      <c r="AB57" s="92"/>
      <c r="AG57" s="101"/>
      <c r="AL57" s="104"/>
      <c r="AN57" s="256"/>
    </row>
    <row r="58" spans="3:40" s="87" customFormat="1">
      <c r="C58" s="193"/>
      <c r="T58" s="97"/>
      <c r="AB58" s="93"/>
      <c r="AG58" s="102"/>
      <c r="AL58" s="105"/>
      <c r="AN58" s="255"/>
    </row>
    <row r="59" spans="3:40" s="87" customFormat="1">
      <c r="C59" s="193"/>
      <c r="T59" s="97"/>
      <c r="AB59" s="93"/>
      <c r="AG59" s="102"/>
      <c r="AL59" s="105"/>
      <c r="AN59" s="255"/>
    </row>
    <row r="60" spans="3:40" s="87" customFormat="1">
      <c r="C60" s="193"/>
      <c r="T60" s="97"/>
      <c r="AB60" s="93"/>
      <c r="AG60" s="102"/>
      <c r="AL60" s="105"/>
      <c r="AN60" s="255"/>
    </row>
    <row r="61" spans="3:40" s="88" customFormat="1">
      <c r="C61" s="195"/>
      <c r="T61" s="98"/>
      <c r="AB61" s="94"/>
      <c r="AG61" s="103"/>
      <c r="AL61" s="106"/>
      <c r="AN61" s="257"/>
    </row>
  </sheetData>
  <phoneticPr fontId="3" type="noConversion"/>
  <conditionalFormatting sqref="B1:B1048576">
    <cfRule type="cellIs" dxfId="69" priority="11" operator="equal">
      <formula>"ignore"</formula>
    </cfRule>
  </conditionalFormatting>
  <conditionalFormatting sqref="C6:AM6">
    <cfRule type="expression" dxfId="68" priority="52">
      <formula>MID(C5,1,1)="2"</formula>
    </cfRule>
    <cfRule type="expression" dxfId="67" priority="53">
      <formula>MID(C5,1,1)="1"</formula>
    </cfRule>
  </conditionalFormatting>
  <conditionalFormatting sqref="C8:AM8 C12 C16:AM16 C20:AM20 C24:AM24 E12:AM12">
    <cfRule type="expression" dxfId="66" priority="9">
      <formula>MID(C7,1,1)="2"</formula>
    </cfRule>
    <cfRule type="expression" dxfId="65" priority="10">
      <formula>MID(C7,1,1)="1"</formula>
    </cfRule>
  </conditionalFormatting>
  <conditionalFormatting sqref="C10:AM10">
    <cfRule type="expression" dxfId="64" priority="7">
      <formula>MID(C9,1,1)="2"</formula>
    </cfRule>
    <cfRule type="expression" dxfId="63" priority="8">
      <formula>MID(C9,1,1)="1"</formula>
    </cfRule>
  </conditionalFormatting>
  <conditionalFormatting sqref="C14:AM14">
    <cfRule type="expression" dxfId="62" priority="5">
      <formula>MID(C13,1,1)="2"</formula>
    </cfRule>
    <cfRule type="expression" dxfId="61" priority="6">
      <formula>MID(C13,1,1)="1"</formula>
    </cfRule>
  </conditionalFormatting>
  <conditionalFormatting sqref="C18:AM18">
    <cfRule type="expression" dxfId="60" priority="3">
      <formula>MID(C17,1,1)="2"</formula>
    </cfRule>
    <cfRule type="expression" dxfId="59" priority="4">
      <formula>MID(C17,1,1)="1"</formula>
    </cfRule>
  </conditionalFormatting>
  <conditionalFormatting sqref="C22:AM22">
    <cfRule type="expression" dxfId="58" priority="1">
      <formula>MID(C21,1,1)="2"</formula>
    </cfRule>
    <cfRule type="expression" dxfId="57" priority="2">
      <formula>MID(C21,1,1)="1"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116"/>
  <sheetViews>
    <sheetView workbookViewId="0">
      <pane xSplit="3" ySplit="2" topLeftCell="D33" activePane="bottomRight" state="frozen"/>
      <selection pane="topRight" activeCell="D1" sqref="D1"/>
      <selection pane="bottomLeft" activeCell="A3" sqref="A3"/>
      <selection pane="bottomRight" activeCell="L59" sqref="L59"/>
    </sheetView>
  </sheetViews>
  <sheetFormatPr defaultColWidth="9.125" defaultRowHeight="16.5"/>
  <cols>
    <col min="1" max="1" width="27.375" style="2" customWidth="1"/>
    <col min="2" max="2" width="4.875" style="2" customWidth="1"/>
    <col min="3" max="3" width="8" style="2" customWidth="1"/>
    <col min="4" max="4" width="9.125" style="25"/>
    <col min="5" max="9" width="9.125" style="2"/>
    <col min="10" max="10" width="9.125" style="36"/>
    <col min="11" max="21" width="9.125" style="2"/>
    <col min="22" max="22" width="9.125" style="169"/>
    <col min="23" max="24" width="9.125" style="2"/>
    <col min="25" max="25" width="9.125" style="46"/>
    <col min="26" max="27" width="9.125" style="2"/>
    <col min="28" max="28" width="9.125" style="241" customWidth="1"/>
    <col min="29" max="29" width="9.125" style="225" customWidth="1"/>
    <col min="30" max="30" width="9.125" style="65"/>
    <col min="31" max="16384" width="9.125" style="2"/>
  </cols>
  <sheetData>
    <row r="1" spans="1:31" s="1" customFormat="1">
      <c r="A1" s="1" t="s">
        <v>240</v>
      </c>
      <c r="B1" s="1" t="s">
        <v>433</v>
      </c>
      <c r="C1" s="1" t="s">
        <v>252</v>
      </c>
      <c r="D1" s="22" t="s">
        <v>826</v>
      </c>
      <c r="E1" s="1" t="s">
        <v>827</v>
      </c>
      <c r="F1" s="1" t="s">
        <v>771</v>
      </c>
      <c r="G1" s="1" t="s">
        <v>774</v>
      </c>
      <c r="H1" s="1" t="s">
        <v>846</v>
      </c>
      <c r="I1" s="1" t="s">
        <v>849</v>
      </c>
      <c r="J1" s="33" t="s">
        <v>828</v>
      </c>
      <c r="K1" s="7" t="s">
        <v>829</v>
      </c>
      <c r="L1" s="7" t="s">
        <v>830</v>
      </c>
      <c r="M1" s="7" t="s">
        <v>831</v>
      </c>
      <c r="N1" s="7" t="s">
        <v>832</v>
      </c>
      <c r="O1" s="7" t="s">
        <v>833</v>
      </c>
      <c r="P1" s="7" t="s">
        <v>834</v>
      </c>
      <c r="Q1" s="7" t="s">
        <v>835</v>
      </c>
      <c r="R1" s="7" t="s">
        <v>836</v>
      </c>
      <c r="S1" s="7" t="s">
        <v>837</v>
      </c>
      <c r="T1" s="7" t="s">
        <v>838</v>
      </c>
      <c r="U1" s="7" t="s">
        <v>839</v>
      </c>
      <c r="V1" s="166" t="s">
        <v>795</v>
      </c>
      <c r="W1" s="7" t="s">
        <v>796</v>
      </c>
      <c r="X1" s="7" t="s">
        <v>799</v>
      </c>
      <c r="Y1" s="43" t="s">
        <v>815</v>
      </c>
      <c r="Z1" s="8" t="s">
        <v>817</v>
      </c>
      <c r="AA1" s="8" t="s">
        <v>865</v>
      </c>
      <c r="AB1" s="237" t="s">
        <v>842</v>
      </c>
      <c r="AC1" s="236" t="s">
        <v>844</v>
      </c>
      <c r="AD1" s="62"/>
      <c r="AE1" s="3"/>
    </row>
    <row r="2" spans="1:31" s="14" customFormat="1">
      <c r="A2" s="14" t="s">
        <v>44</v>
      </c>
      <c r="B2" s="14" t="s">
        <v>79</v>
      </c>
      <c r="C2" s="14" t="s">
        <v>243</v>
      </c>
      <c r="D2" s="23" t="s">
        <v>81</v>
      </c>
      <c r="E2" s="14" t="s">
        <v>99</v>
      </c>
      <c r="F2" s="14" t="s">
        <v>468</v>
      </c>
      <c r="G2" s="14" t="s">
        <v>131</v>
      </c>
      <c r="H2" s="14" t="s">
        <v>847</v>
      </c>
      <c r="I2" s="14" t="s">
        <v>851</v>
      </c>
      <c r="J2" s="34" t="s">
        <v>472</v>
      </c>
      <c r="K2" s="6" t="s">
        <v>154</v>
      </c>
      <c r="L2" s="6" t="s">
        <v>162</v>
      </c>
      <c r="M2" s="6" t="s">
        <v>163</v>
      </c>
      <c r="N2" s="6" t="s">
        <v>619</v>
      </c>
      <c r="O2" s="6" t="s">
        <v>618</v>
      </c>
      <c r="P2" s="6" t="s">
        <v>171</v>
      </c>
      <c r="Q2" s="6" t="s">
        <v>625</v>
      </c>
      <c r="R2" s="6" t="s">
        <v>622</v>
      </c>
      <c r="S2" s="6" t="s">
        <v>175</v>
      </c>
      <c r="T2" s="6" t="s">
        <v>631</v>
      </c>
      <c r="U2" s="6" t="s">
        <v>707</v>
      </c>
      <c r="V2" s="167" t="s">
        <v>177</v>
      </c>
      <c r="W2" s="6" t="s">
        <v>178</v>
      </c>
      <c r="X2" s="6" t="s">
        <v>186</v>
      </c>
      <c r="Y2" s="44" t="s">
        <v>194</v>
      </c>
      <c r="Z2" s="5" t="s">
        <v>640</v>
      </c>
      <c r="AA2" s="5" t="s">
        <v>859</v>
      </c>
      <c r="AB2" s="238" t="s">
        <v>843</v>
      </c>
      <c r="AC2" s="224" t="s">
        <v>845</v>
      </c>
      <c r="AD2" s="63"/>
      <c r="AE2" s="4"/>
    </row>
    <row r="3" spans="1:31" s="15" customFormat="1">
      <c r="A3" s="15" t="s">
        <v>241</v>
      </c>
      <c r="B3" s="15" t="s">
        <v>79</v>
      </c>
      <c r="C3" s="15" t="s">
        <v>253</v>
      </c>
      <c r="D3" s="81" t="s">
        <v>266</v>
      </c>
      <c r="E3" s="21" t="s">
        <v>269</v>
      </c>
      <c r="F3" s="21" t="s">
        <v>278</v>
      </c>
      <c r="G3" s="21" t="s">
        <v>281</v>
      </c>
      <c r="H3" s="21" t="s">
        <v>853</v>
      </c>
      <c r="I3" s="21" t="s">
        <v>854</v>
      </c>
      <c r="J3" s="71" t="s">
        <v>284</v>
      </c>
      <c r="K3" s="21" t="s">
        <v>289</v>
      </c>
      <c r="L3" s="21" t="s">
        <v>293</v>
      </c>
      <c r="M3" s="21" t="s">
        <v>294</v>
      </c>
      <c r="N3" s="21" t="s">
        <v>295</v>
      </c>
      <c r="O3" s="21" t="s">
        <v>295</v>
      </c>
      <c r="P3" s="21" t="s">
        <v>298</v>
      </c>
      <c r="Q3" s="21" t="s">
        <v>299</v>
      </c>
      <c r="R3" s="21" t="s">
        <v>299</v>
      </c>
      <c r="S3" s="21" t="s">
        <v>301</v>
      </c>
      <c r="T3" s="21" t="s">
        <v>302</v>
      </c>
      <c r="U3" s="21" t="s">
        <v>710</v>
      </c>
      <c r="V3" s="179" t="s">
        <v>303</v>
      </c>
      <c r="W3" s="21" t="s">
        <v>304</v>
      </c>
      <c r="X3" s="21" t="s">
        <v>307</v>
      </c>
      <c r="Y3" s="95" t="s">
        <v>309</v>
      </c>
      <c r="Z3" s="21" t="s">
        <v>311</v>
      </c>
      <c r="AA3" s="21" t="s">
        <v>261</v>
      </c>
      <c r="AB3" s="239"/>
      <c r="AC3" s="222"/>
      <c r="AD3" s="64"/>
      <c r="AE3" s="16"/>
    </row>
    <row r="4" spans="1:31" s="20" customFormat="1">
      <c r="A4" s="20" t="s">
        <v>460</v>
      </c>
      <c r="B4" s="20" t="s">
        <v>79</v>
      </c>
      <c r="C4" s="20" t="s">
        <v>242</v>
      </c>
      <c r="D4" s="82" t="s">
        <v>184</v>
      </c>
      <c r="E4" s="20" t="s">
        <v>251</v>
      </c>
      <c r="F4" s="20" t="s">
        <v>250</v>
      </c>
      <c r="G4" s="20" t="s">
        <v>250</v>
      </c>
      <c r="H4" s="20" t="s">
        <v>184</v>
      </c>
      <c r="I4" s="20" t="s">
        <v>184</v>
      </c>
      <c r="J4" s="72" t="s">
        <v>251</v>
      </c>
      <c r="K4" s="111" t="s">
        <v>250</v>
      </c>
      <c r="L4" s="111" t="s">
        <v>251</v>
      </c>
      <c r="M4" s="111" t="s">
        <v>250</v>
      </c>
      <c r="N4" s="111" t="s">
        <v>251</v>
      </c>
      <c r="O4" s="111" t="s">
        <v>251</v>
      </c>
      <c r="P4" s="111" t="s">
        <v>251</v>
      </c>
      <c r="Q4" s="111" t="s">
        <v>184</v>
      </c>
      <c r="R4" s="111" t="s">
        <v>184</v>
      </c>
      <c r="S4" s="111" t="s">
        <v>251</v>
      </c>
      <c r="T4" s="111" t="s">
        <v>251</v>
      </c>
      <c r="U4" s="111" t="s">
        <v>251</v>
      </c>
      <c r="V4" s="180" t="s">
        <v>251</v>
      </c>
      <c r="W4" s="111" t="s">
        <v>251</v>
      </c>
      <c r="X4" s="111" t="s">
        <v>251</v>
      </c>
      <c r="Y4" s="75" t="s">
        <v>250</v>
      </c>
      <c r="Z4" s="112" t="s">
        <v>251</v>
      </c>
      <c r="AA4" s="112" t="s">
        <v>184</v>
      </c>
      <c r="AB4" s="240" t="s">
        <v>184</v>
      </c>
      <c r="AC4" s="223" t="s">
        <v>184</v>
      </c>
      <c r="AD4" s="78"/>
      <c r="AE4" s="235"/>
    </row>
    <row r="5" spans="1:31" s="20" customFormat="1">
      <c r="A5" s="20" t="s">
        <v>621</v>
      </c>
      <c r="B5" s="20" t="s">
        <v>79</v>
      </c>
      <c r="C5" s="20" t="s">
        <v>242</v>
      </c>
      <c r="D5" s="82" t="s">
        <v>250</v>
      </c>
      <c r="E5" s="20" t="s">
        <v>251</v>
      </c>
      <c r="F5" s="20" t="s">
        <v>251</v>
      </c>
      <c r="G5" s="20" t="s">
        <v>251</v>
      </c>
      <c r="H5" s="20" t="s">
        <v>250</v>
      </c>
      <c r="I5" s="20" t="s">
        <v>250</v>
      </c>
      <c r="J5" s="72" t="s">
        <v>250</v>
      </c>
      <c r="K5" s="111" t="s">
        <v>251</v>
      </c>
      <c r="L5" s="111" t="s">
        <v>250</v>
      </c>
      <c r="M5" s="111" t="s">
        <v>251</v>
      </c>
      <c r="N5" s="111" t="s">
        <v>251</v>
      </c>
      <c r="O5" s="111" t="s">
        <v>250</v>
      </c>
      <c r="P5" s="111" t="s">
        <v>250</v>
      </c>
      <c r="Q5" s="111" t="s">
        <v>250</v>
      </c>
      <c r="R5" s="111" t="s">
        <v>250</v>
      </c>
      <c r="S5" s="111" t="s">
        <v>250</v>
      </c>
      <c r="T5" s="111" t="s">
        <v>250</v>
      </c>
      <c r="U5" s="111" t="s">
        <v>250</v>
      </c>
      <c r="V5" s="180" t="s">
        <v>250</v>
      </c>
      <c r="W5" s="111" t="s">
        <v>251</v>
      </c>
      <c r="X5" s="111" t="s">
        <v>251</v>
      </c>
      <c r="Y5" s="75" t="s">
        <v>251</v>
      </c>
      <c r="Z5" s="112" t="s">
        <v>250</v>
      </c>
      <c r="AA5" s="112" t="s">
        <v>251</v>
      </c>
      <c r="AB5" s="240" t="s">
        <v>251</v>
      </c>
      <c r="AC5" s="223" t="s">
        <v>251</v>
      </c>
      <c r="AD5" s="78"/>
      <c r="AE5" s="235"/>
    </row>
    <row r="6" spans="1:31" s="20" customFormat="1">
      <c r="A6" s="20" t="s">
        <v>855</v>
      </c>
      <c r="B6" s="20" t="s">
        <v>79</v>
      </c>
      <c r="C6" s="20" t="s">
        <v>247</v>
      </c>
      <c r="D6" s="82" t="s">
        <v>79</v>
      </c>
      <c r="E6" s="20" t="s">
        <v>79</v>
      </c>
      <c r="F6" s="20" t="s">
        <v>79</v>
      </c>
      <c r="G6" s="20" t="s">
        <v>79</v>
      </c>
      <c r="H6" s="20" t="s">
        <v>79</v>
      </c>
      <c r="I6" s="20" t="s">
        <v>79</v>
      </c>
      <c r="J6" s="72" t="s">
        <v>79</v>
      </c>
      <c r="K6" s="111" t="s">
        <v>79</v>
      </c>
      <c r="L6" s="111" t="s">
        <v>79</v>
      </c>
      <c r="M6" s="111" t="s">
        <v>79</v>
      </c>
      <c r="N6" s="111" t="s">
        <v>79</v>
      </c>
      <c r="O6" s="111" t="s">
        <v>79</v>
      </c>
      <c r="P6" s="111" t="s">
        <v>79</v>
      </c>
      <c r="Q6" s="111" t="s">
        <v>79</v>
      </c>
      <c r="R6" s="111" t="s">
        <v>79</v>
      </c>
      <c r="S6" s="111" t="s">
        <v>79</v>
      </c>
      <c r="T6" s="111" t="s">
        <v>79</v>
      </c>
      <c r="U6" s="111" t="s">
        <v>79</v>
      </c>
      <c r="V6" s="180" t="s">
        <v>79</v>
      </c>
      <c r="W6" s="111" t="s">
        <v>79</v>
      </c>
      <c r="X6" s="111" t="s">
        <v>79</v>
      </c>
      <c r="Y6" s="75" t="s">
        <v>79</v>
      </c>
      <c r="Z6" s="112" t="s">
        <v>69</v>
      </c>
      <c r="AA6" s="112" t="s">
        <v>69</v>
      </c>
      <c r="AB6" s="240" t="s">
        <v>79</v>
      </c>
      <c r="AC6" s="223" t="s">
        <v>79</v>
      </c>
      <c r="AD6" s="78"/>
      <c r="AE6" s="235"/>
    </row>
    <row r="7" spans="1:31" s="20" customFormat="1">
      <c r="A7" s="20" t="s">
        <v>615</v>
      </c>
      <c r="B7" s="20" t="s">
        <v>79</v>
      </c>
      <c r="C7" s="20" t="s">
        <v>247</v>
      </c>
      <c r="D7" s="82" t="s">
        <v>69</v>
      </c>
      <c r="E7" s="20" t="s">
        <v>69</v>
      </c>
      <c r="F7" s="20" t="s">
        <v>69</v>
      </c>
      <c r="G7" s="20" t="s">
        <v>69</v>
      </c>
      <c r="H7" s="20" t="s">
        <v>69</v>
      </c>
      <c r="I7" s="20" t="s">
        <v>69</v>
      </c>
      <c r="J7" s="72" t="s">
        <v>69</v>
      </c>
      <c r="K7" s="111" t="s">
        <v>79</v>
      </c>
      <c r="L7" s="111" t="s">
        <v>69</v>
      </c>
      <c r="M7" s="111" t="s">
        <v>79</v>
      </c>
      <c r="N7" s="111" t="s">
        <v>69</v>
      </c>
      <c r="O7" s="111" t="s">
        <v>69</v>
      </c>
      <c r="P7" s="111" t="s">
        <v>69</v>
      </c>
      <c r="Q7" s="111" t="s">
        <v>69</v>
      </c>
      <c r="R7" s="111" t="s">
        <v>69</v>
      </c>
      <c r="S7" s="111" t="s">
        <v>69</v>
      </c>
      <c r="T7" s="111" t="s">
        <v>69</v>
      </c>
      <c r="U7" s="111" t="s">
        <v>69</v>
      </c>
      <c r="V7" s="180" t="s">
        <v>69</v>
      </c>
      <c r="W7" s="111" t="s">
        <v>69</v>
      </c>
      <c r="X7" s="111" t="s">
        <v>69</v>
      </c>
      <c r="Y7" s="75" t="s">
        <v>69</v>
      </c>
      <c r="Z7" s="112" t="s">
        <v>69</v>
      </c>
      <c r="AA7" s="112" t="s">
        <v>79</v>
      </c>
      <c r="AB7" s="240" t="s">
        <v>69</v>
      </c>
      <c r="AC7" s="223" t="s">
        <v>69</v>
      </c>
      <c r="AD7" s="78"/>
      <c r="AE7" s="235"/>
    </row>
    <row r="8" spans="1:31" s="14" customFormat="1">
      <c r="A8" s="14" t="s">
        <v>610</v>
      </c>
      <c r="B8" s="14" t="s">
        <v>69</v>
      </c>
      <c r="C8" s="14" t="s">
        <v>252</v>
      </c>
      <c r="D8" s="23"/>
      <c r="J8" s="34"/>
      <c r="K8" s="6" t="s">
        <v>840</v>
      </c>
      <c r="L8" s="6"/>
      <c r="M8" s="6" t="s">
        <v>841</v>
      </c>
      <c r="N8" s="6"/>
      <c r="O8" s="6"/>
      <c r="P8" s="6"/>
      <c r="Q8" s="6"/>
      <c r="R8" s="6"/>
      <c r="S8" s="6"/>
      <c r="T8" s="6"/>
      <c r="U8" s="6"/>
      <c r="V8" s="167"/>
      <c r="W8" s="6"/>
      <c r="X8" s="6"/>
      <c r="Y8" s="44"/>
      <c r="Z8" s="5"/>
      <c r="AA8" s="5" t="s">
        <v>867</v>
      </c>
      <c r="AB8" s="238"/>
      <c r="AC8" s="224"/>
      <c r="AD8" s="63"/>
      <c r="AE8" s="4"/>
    </row>
    <row r="9" spans="1:31" s="14" customFormat="1">
      <c r="A9" s="14" t="s">
        <v>414</v>
      </c>
      <c r="B9" s="14" t="s">
        <v>79</v>
      </c>
      <c r="C9" s="14" t="s">
        <v>418</v>
      </c>
      <c r="D9" s="23"/>
      <c r="J9" s="34"/>
      <c r="K9" s="6" t="s">
        <v>422</v>
      </c>
      <c r="L9" s="6"/>
      <c r="M9" s="6" t="s">
        <v>430</v>
      </c>
      <c r="N9" s="6"/>
      <c r="O9" s="6"/>
      <c r="P9" s="6"/>
      <c r="Q9" s="6"/>
      <c r="R9" s="6"/>
      <c r="S9" s="6"/>
      <c r="T9" s="6"/>
      <c r="U9" s="6"/>
      <c r="V9" s="167"/>
      <c r="W9" s="6"/>
      <c r="X9" s="6"/>
      <c r="Y9" s="44"/>
      <c r="Z9" s="5"/>
      <c r="AA9" s="5" t="s">
        <v>424</v>
      </c>
      <c r="AB9" s="238"/>
      <c r="AC9" s="224"/>
      <c r="AD9" s="63"/>
      <c r="AE9" s="4"/>
    </row>
    <row r="10" spans="1:31" s="14" customFormat="1">
      <c r="A10" s="14" t="s">
        <v>612</v>
      </c>
      <c r="B10" s="14" t="s">
        <v>79</v>
      </c>
      <c r="C10" s="14" t="s">
        <v>418</v>
      </c>
      <c r="D10" s="23"/>
      <c r="J10" s="34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167"/>
      <c r="W10" s="6"/>
      <c r="X10" s="6"/>
      <c r="Y10" s="44"/>
      <c r="Z10" s="5"/>
      <c r="AA10" s="5"/>
      <c r="AB10" s="238"/>
      <c r="AC10" s="224"/>
      <c r="AD10" s="63"/>
      <c r="AE10" s="4"/>
    </row>
    <row r="11" spans="1:31" s="14" customFormat="1">
      <c r="A11" s="14" t="s">
        <v>613</v>
      </c>
      <c r="B11" s="14" t="s">
        <v>79</v>
      </c>
      <c r="C11" s="14" t="s">
        <v>418</v>
      </c>
      <c r="D11" s="23"/>
      <c r="J11" s="34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167"/>
      <c r="W11" s="6"/>
      <c r="X11" s="6"/>
      <c r="Y11" s="44"/>
      <c r="Z11" s="5"/>
      <c r="AA11" s="5"/>
      <c r="AB11" s="238"/>
      <c r="AC11" s="224"/>
      <c r="AD11" s="63"/>
      <c r="AE11" s="4"/>
    </row>
    <row r="12" spans="1:31" s="14" customFormat="1">
      <c r="A12" s="14" t="s">
        <v>614</v>
      </c>
      <c r="B12" s="14" t="s">
        <v>79</v>
      </c>
      <c r="C12" s="14" t="s">
        <v>418</v>
      </c>
      <c r="D12" s="23"/>
      <c r="J12" s="34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167"/>
      <c r="W12" s="6"/>
      <c r="X12" s="6"/>
      <c r="Y12" s="44"/>
      <c r="Z12" s="5"/>
      <c r="AA12" s="5"/>
      <c r="AB12" s="238"/>
      <c r="AC12" s="224"/>
      <c r="AD12" s="63"/>
      <c r="AE12" s="4"/>
    </row>
    <row r="13" spans="1:31">
      <c r="A13" s="2" t="s">
        <v>0</v>
      </c>
      <c r="B13" s="2" t="s">
        <v>69</v>
      </c>
      <c r="C13" s="2" t="s">
        <v>248</v>
      </c>
    </row>
    <row r="14" spans="1:31">
      <c r="A14" s="2" t="s">
        <v>1</v>
      </c>
      <c r="B14" s="2" t="s">
        <v>69</v>
      </c>
      <c r="C14" s="2" t="s">
        <v>248</v>
      </c>
    </row>
    <row r="15" spans="1:31">
      <c r="A15" s="2" t="s">
        <v>3</v>
      </c>
      <c r="B15" s="2" t="s">
        <v>69</v>
      </c>
      <c r="C15" s="2" t="s">
        <v>248</v>
      </c>
    </row>
    <row r="16" spans="1:31">
      <c r="A16" s="2" t="s">
        <v>85</v>
      </c>
      <c r="B16" s="2" t="s">
        <v>69</v>
      </c>
      <c r="C16" s="2" t="s">
        <v>248</v>
      </c>
      <c r="N16" s="2" t="s">
        <v>89</v>
      </c>
    </row>
    <row r="17" spans="1:27">
      <c r="A17" s="2" t="s">
        <v>7</v>
      </c>
      <c r="B17" s="2" t="s">
        <v>69</v>
      </c>
      <c r="C17" s="2" t="s">
        <v>248</v>
      </c>
    </row>
    <row r="18" spans="1:27">
      <c r="A18" s="2" t="s">
        <v>35</v>
      </c>
      <c r="B18" s="2" t="s">
        <v>69</v>
      </c>
      <c r="C18" s="2" t="s">
        <v>248</v>
      </c>
    </row>
    <row r="19" spans="1:27">
      <c r="A19" s="2" t="s">
        <v>10</v>
      </c>
      <c r="B19" s="2" t="s">
        <v>69</v>
      </c>
      <c r="C19" s="2" t="s">
        <v>248</v>
      </c>
    </row>
    <row r="20" spans="1:27">
      <c r="A20" s="2" t="s">
        <v>80</v>
      </c>
      <c r="B20" s="2" t="s">
        <v>69</v>
      </c>
      <c r="C20" s="2" t="s">
        <v>248</v>
      </c>
    </row>
    <row r="21" spans="1:27">
      <c r="A21" s="2" t="s">
        <v>91</v>
      </c>
      <c r="B21" s="2" t="s">
        <v>69</v>
      </c>
      <c r="C21" s="2" t="s">
        <v>248</v>
      </c>
    </row>
    <row r="22" spans="1:27">
      <c r="A22" s="2" t="s">
        <v>92</v>
      </c>
      <c r="B22" s="2" t="s">
        <v>69</v>
      </c>
      <c r="C22" s="2" t="s">
        <v>248</v>
      </c>
    </row>
    <row r="23" spans="1:27">
      <c r="A23" s="2" t="s">
        <v>84</v>
      </c>
      <c r="B23" s="2" t="s">
        <v>69</v>
      </c>
      <c r="C23" s="2" t="s">
        <v>248</v>
      </c>
    </row>
    <row r="24" spans="1:27">
      <c r="A24" s="2" t="s">
        <v>15</v>
      </c>
      <c r="B24" s="2" t="s">
        <v>69</v>
      </c>
      <c r="C24" s="2" t="s">
        <v>248</v>
      </c>
    </row>
    <row r="25" spans="1:27">
      <c r="A25" s="2" t="s">
        <v>18</v>
      </c>
      <c r="B25" s="2" t="s">
        <v>69</v>
      </c>
      <c r="C25" s="2" t="s">
        <v>248</v>
      </c>
    </row>
    <row r="26" spans="1:27">
      <c r="A26" s="2" t="s">
        <v>32</v>
      </c>
      <c r="B26" s="2" t="s">
        <v>69</v>
      </c>
      <c r="C26" s="2" t="s">
        <v>248</v>
      </c>
      <c r="K26" s="2" t="s">
        <v>100</v>
      </c>
      <c r="M26" s="2" t="s">
        <v>100</v>
      </c>
      <c r="S26" s="2" t="s">
        <v>100</v>
      </c>
      <c r="T26" s="2" t="s">
        <v>100</v>
      </c>
    </row>
    <row r="27" spans="1:27">
      <c r="A27" s="2" t="s">
        <v>63</v>
      </c>
      <c r="B27" s="2" t="s">
        <v>69</v>
      </c>
      <c r="C27" s="2" t="s">
        <v>248</v>
      </c>
    </row>
    <row r="28" spans="1:27">
      <c r="A28" s="2" t="s">
        <v>151</v>
      </c>
      <c r="B28" s="2" t="s">
        <v>69</v>
      </c>
      <c r="C28" s="2" t="s">
        <v>242</v>
      </c>
    </row>
    <row r="29" spans="1:27">
      <c r="A29" s="2" t="s">
        <v>62</v>
      </c>
      <c r="B29" s="2" t="s">
        <v>69</v>
      </c>
      <c r="C29" s="2" t="s">
        <v>242</v>
      </c>
      <c r="AA29" s="2" t="s">
        <v>184</v>
      </c>
    </row>
    <row r="30" spans="1:27">
      <c r="A30" s="2" t="s">
        <v>36</v>
      </c>
      <c r="B30" s="2" t="s">
        <v>69</v>
      </c>
      <c r="C30" s="2" t="s">
        <v>242</v>
      </c>
    </row>
    <row r="31" spans="1:27">
      <c r="A31" s="2" t="s">
        <v>21</v>
      </c>
      <c r="B31" s="2" t="s">
        <v>69</v>
      </c>
      <c r="C31" s="2" t="s">
        <v>248</v>
      </c>
    </row>
    <row r="32" spans="1:27">
      <c r="A32" s="2" t="s">
        <v>22</v>
      </c>
      <c r="B32" s="2" t="s">
        <v>69</v>
      </c>
      <c r="C32" s="2" t="s">
        <v>248</v>
      </c>
    </row>
    <row r="33" spans="1:30">
      <c r="A33" s="2" t="s">
        <v>24</v>
      </c>
      <c r="B33" s="2" t="s">
        <v>69</v>
      </c>
      <c r="C33" s="2" t="s">
        <v>248</v>
      </c>
    </row>
    <row r="34" spans="1:30">
      <c r="A34" s="2" t="s">
        <v>26</v>
      </c>
      <c r="B34" s="2" t="s">
        <v>69</v>
      </c>
      <c r="C34" s="2" t="s">
        <v>248</v>
      </c>
    </row>
    <row r="35" spans="1:30" s="3" customFormat="1">
      <c r="A35" s="3" t="s">
        <v>964</v>
      </c>
      <c r="B35" s="3" t="s">
        <v>69</v>
      </c>
      <c r="C35" s="3" t="s">
        <v>248</v>
      </c>
      <c r="D35" s="27"/>
      <c r="H35" s="3" t="s">
        <v>857</v>
      </c>
      <c r="I35" s="3" t="s">
        <v>221</v>
      </c>
      <c r="J35" s="38"/>
      <c r="V35" s="181"/>
      <c r="Y35" s="48"/>
      <c r="AB35" s="242"/>
      <c r="AC35" s="226"/>
      <c r="AD35" s="62"/>
    </row>
    <row r="36" spans="1:30" s="3" customFormat="1">
      <c r="A36" s="3" t="s">
        <v>965</v>
      </c>
      <c r="B36" s="3" t="s">
        <v>69</v>
      </c>
      <c r="C36" s="3" t="s">
        <v>248</v>
      </c>
      <c r="D36" s="27"/>
      <c r="J36" s="38"/>
      <c r="V36" s="181"/>
      <c r="Y36" s="48"/>
      <c r="AB36" s="242"/>
      <c r="AC36" s="226"/>
      <c r="AD36" s="62"/>
    </row>
    <row r="37" spans="1:30" s="3" customFormat="1">
      <c r="A37" s="3" t="s">
        <v>717</v>
      </c>
      <c r="B37" s="3" t="s">
        <v>69</v>
      </c>
      <c r="C37" s="3" t="s">
        <v>248</v>
      </c>
      <c r="D37" s="27"/>
      <c r="J37" s="38"/>
      <c r="V37" s="181"/>
      <c r="Y37" s="48"/>
      <c r="AB37" s="242"/>
      <c r="AC37" s="226"/>
      <c r="AD37" s="62"/>
    </row>
    <row r="38" spans="1:30" s="11" customFormat="1">
      <c r="A38" s="11" t="s">
        <v>966</v>
      </c>
      <c r="B38" s="11" t="s">
        <v>69</v>
      </c>
      <c r="C38" s="11" t="s">
        <v>248</v>
      </c>
      <c r="D38" s="28" t="s">
        <v>447</v>
      </c>
      <c r="E38" s="11" t="s">
        <v>447</v>
      </c>
      <c r="F38" s="11" t="s">
        <v>447</v>
      </c>
      <c r="G38" s="11" t="s">
        <v>447</v>
      </c>
      <c r="H38" s="11" t="s">
        <v>447</v>
      </c>
      <c r="I38" s="11" t="s">
        <v>447</v>
      </c>
      <c r="J38" s="39" t="s">
        <v>448</v>
      </c>
      <c r="K38" s="11" t="s">
        <v>448</v>
      </c>
      <c r="L38" s="11" t="s">
        <v>448</v>
      </c>
      <c r="M38" s="11" t="s">
        <v>448</v>
      </c>
      <c r="O38" s="11" t="s">
        <v>448</v>
      </c>
      <c r="P38" s="11" t="s">
        <v>448</v>
      </c>
      <c r="R38" s="11" t="s">
        <v>448</v>
      </c>
      <c r="S38" s="11" t="s">
        <v>448</v>
      </c>
      <c r="T38" s="11" t="s">
        <v>448</v>
      </c>
      <c r="V38" s="182" t="s">
        <v>448</v>
      </c>
      <c r="W38" s="11" t="s">
        <v>448</v>
      </c>
      <c r="Y38" s="49" t="s">
        <v>118</v>
      </c>
      <c r="AA38" s="11" t="s">
        <v>118</v>
      </c>
      <c r="AB38" s="243"/>
      <c r="AC38" s="227"/>
      <c r="AD38" s="66"/>
    </row>
    <row r="39" spans="1:30" s="12" customFormat="1">
      <c r="A39" s="12" t="s">
        <v>41</v>
      </c>
      <c r="B39" s="12" t="s">
        <v>69</v>
      </c>
      <c r="C39" s="12" t="s">
        <v>248</v>
      </c>
      <c r="D39" s="83" t="s">
        <v>100</v>
      </c>
      <c r="E39" s="12" t="s">
        <v>28</v>
      </c>
      <c r="F39" s="12" t="s">
        <v>470</v>
      </c>
      <c r="G39" s="12" t="s">
        <v>471</v>
      </c>
      <c r="J39" s="73" t="s">
        <v>475</v>
      </c>
      <c r="K39" s="12" t="s">
        <v>30</v>
      </c>
      <c r="L39" s="12" t="s">
        <v>616</v>
      </c>
      <c r="M39" s="12" t="s">
        <v>28</v>
      </c>
      <c r="O39" s="12" t="s">
        <v>54</v>
      </c>
      <c r="P39" s="12" t="s">
        <v>33</v>
      </c>
      <c r="R39" s="12" t="s">
        <v>623</v>
      </c>
      <c r="S39" s="12" t="s">
        <v>630</v>
      </c>
      <c r="T39" s="12" t="s">
        <v>634</v>
      </c>
      <c r="V39" s="183" t="s">
        <v>31</v>
      </c>
      <c r="W39" s="12" t="s">
        <v>108</v>
      </c>
      <c r="Y39" s="76" t="s">
        <v>160</v>
      </c>
      <c r="AA39" s="12" t="s">
        <v>75</v>
      </c>
      <c r="AB39" s="244"/>
      <c r="AC39" s="228"/>
      <c r="AD39" s="79"/>
    </row>
    <row r="40" spans="1:30" s="12" customFormat="1">
      <c r="A40" s="12" t="s">
        <v>969</v>
      </c>
      <c r="B40" s="12" t="s">
        <v>69</v>
      </c>
      <c r="C40" s="12" t="s">
        <v>248</v>
      </c>
      <c r="D40" s="83"/>
      <c r="J40" s="73"/>
      <c r="L40" s="12" t="s">
        <v>190</v>
      </c>
      <c r="R40" s="12" t="s">
        <v>624</v>
      </c>
      <c r="V40" s="183"/>
      <c r="Y40" s="76"/>
      <c r="AA40" s="12" t="s">
        <v>75</v>
      </c>
      <c r="AB40" s="244"/>
      <c r="AC40" s="228"/>
      <c r="AD40" s="79"/>
    </row>
    <row r="41" spans="1:30" s="12" customFormat="1">
      <c r="A41" s="12" t="s">
        <v>967</v>
      </c>
      <c r="B41" s="12" t="s">
        <v>69</v>
      </c>
      <c r="C41" s="12" t="s">
        <v>248</v>
      </c>
      <c r="D41" s="83"/>
      <c r="J41" s="73"/>
      <c r="V41" s="183"/>
      <c r="Y41" s="76"/>
      <c r="AB41" s="244"/>
      <c r="AC41" s="228"/>
      <c r="AD41" s="79"/>
    </row>
    <row r="42" spans="1:30" s="13" customFormat="1">
      <c r="A42" s="13" t="s">
        <v>968</v>
      </c>
      <c r="B42" s="13" t="s">
        <v>69</v>
      </c>
      <c r="C42" s="13" t="s">
        <v>248</v>
      </c>
      <c r="D42" s="84"/>
      <c r="J42" s="74"/>
      <c r="V42" s="184"/>
      <c r="Y42" s="77"/>
      <c r="AB42" s="245"/>
      <c r="AC42" s="229"/>
      <c r="AD42" s="80"/>
    </row>
    <row r="43" spans="1:30" s="3" customFormat="1">
      <c r="A43" s="3" t="s">
        <v>135</v>
      </c>
      <c r="B43" s="3" t="s">
        <v>69</v>
      </c>
      <c r="C43" s="3" t="s">
        <v>1598</v>
      </c>
      <c r="D43" s="27" t="s">
        <v>1605</v>
      </c>
      <c r="E43" s="3" t="s">
        <v>1603</v>
      </c>
      <c r="F43" s="3" t="s">
        <v>1601</v>
      </c>
      <c r="G43" s="3" t="s">
        <v>1602</v>
      </c>
      <c r="J43" s="38" t="s">
        <v>1601</v>
      </c>
      <c r="K43" s="3" t="s">
        <v>1605</v>
      </c>
      <c r="L43" s="3" t="s">
        <v>1601</v>
      </c>
      <c r="M43" s="3" t="s">
        <v>1603</v>
      </c>
      <c r="O43" s="3" t="s">
        <v>1603</v>
      </c>
      <c r="P43" s="3" t="s">
        <v>1601</v>
      </c>
      <c r="R43" s="3" t="s">
        <v>1602</v>
      </c>
      <c r="S43" s="3" t="s">
        <v>1600</v>
      </c>
      <c r="T43" s="3" t="s">
        <v>1602</v>
      </c>
      <c r="V43" s="181" t="s">
        <v>1602</v>
      </c>
      <c r="W43" s="3" t="s">
        <v>1603</v>
      </c>
      <c r="Y43" s="48" t="s">
        <v>1600</v>
      </c>
      <c r="AA43" s="3" t="s">
        <v>1601</v>
      </c>
      <c r="AB43" s="242"/>
      <c r="AC43" s="226"/>
      <c r="AD43" s="62"/>
    </row>
    <row r="44" spans="1:30" s="3" customFormat="1">
      <c r="A44" s="3" t="s">
        <v>136</v>
      </c>
      <c r="B44" s="3" t="s">
        <v>69</v>
      </c>
      <c r="C44" s="3" t="s">
        <v>1598</v>
      </c>
      <c r="D44" s="27" t="s">
        <v>1601</v>
      </c>
      <c r="J44" s="38"/>
      <c r="R44" s="3" t="s">
        <v>1607</v>
      </c>
      <c r="V44" s="181"/>
      <c r="Y44" s="48"/>
      <c r="AA44" s="3" t="s">
        <v>1603</v>
      </c>
      <c r="AB44" s="242"/>
      <c r="AC44" s="226"/>
      <c r="AD44" s="62"/>
    </row>
    <row r="45" spans="1:30" s="3" customFormat="1">
      <c r="A45" s="3" t="s">
        <v>962</v>
      </c>
      <c r="B45" s="3" t="s">
        <v>69</v>
      </c>
      <c r="C45" s="3" t="s">
        <v>1598</v>
      </c>
      <c r="D45" s="27"/>
      <c r="J45" s="38"/>
      <c r="V45" s="181"/>
      <c r="Y45" s="48"/>
      <c r="AB45" s="242"/>
      <c r="AC45" s="226"/>
      <c r="AD45" s="62"/>
    </row>
    <row r="46" spans="1:30" s="3" customFormat="1">
      <c r="A46" s="3" t="s">
        <v>963</v>
      </c>
      <c r="B46" s="3" t="s">
        <v>69</v>
      </c>
      <c r="C46" s="3" t="s">
        <v>1598</v>
      </c>
      <c r="D46" s="27"/>
      <c r="J46" s="38"/>
      <c r="V46" s="181"/>
      <c r="Y46" s="48"/>
      <c r="AB46" s="242"/>
      <c r="AC46" s="226"/>
      <c r="AD46" s="62"/>
    </row>
    <row r="47" spans="1:30" s="6" customFormat="1">
      <c r="A47" s="6" t="s">
        <v>649</v>
      </c>
      <c r="B47" s="6" t="s">
        <v>69</v>
      </c>
      <c r="C47" s="6" t="s">
        <v>247</v>
      </c>
      <c r="D47" s="29" t="s">
        <v>69</v>
      </c>
      <c r="E47" s="6" t="s">
        <v>69</v>
      </c>
      <c r="F47" s="6" t="s">
        <v>69</v>
      </c>
      <c r="G47" s="6" t="s">
        <v>69</v>
      </c>
      <c r="H47" s="6" t="s">
        <v>69</v>
      </c>
      <c r="I47" s="6" t="s">
        <v>69</v>
      </c>
      <c r="J47" s="34" t="s">
        <v>69</v>
      </c>
      <c r="K47" s="6" t="s">
        <v>79</v>
      </c>
      <c r="L47" s="6" t="s">
        <v>69</v>
      </c>
      <c r="M47" s="6" t="s">
        <v>79</v>
      </c>
      <c r="N47" s="6" t="s">
        <v>69</v>
      </c>
      <c r="O47" s="6" t="s">
        <v>69</v>
      </c>
      <c r="P47" s="6" t="s">
        <v>69</v>
      </c>
      <c r="Q47" s="6" t="s">
        <v>69</v>
      </c>
      <c r="R47" s="6" t="s">
        <v>69</v>
      </c>
      <c r="S47" s="6" t="s">
        <v>69</v>
      </c>
      <c r="T47" s="6" t="s">
        <v>69</v>
      </c>
      <c r="U47" s="6" t="s">
        <v>69</v>
      </c>
      <c r="V47" s="167" t="s">
        <v>69</v>
      </c>
      <c r="W47" s="6" t="s">
        <v>69</v>
      </c>
      <c r="X47" s="6" t="s">
        <v>69</v>
      </c>
      <c r="Y47" s="50" t="s">
        <v>69</v>
      </c>
      <c r="Z47" s="6" t="s">
        <v>69</v>
      </c>
      <c r="AA47" s="6" t="s">
        <v>79</v>
      </c>
      <c r="AB47" s="246" t="s">
        <v>69</v>
      </c>
      <c r="AC47" s="230"/>
      <c r="AD47" s="67"/>
    </row>
    <row r="48" spans="1:30" s="4" customFormat="1">
      <c r="A48" s="6" t="s">
        <v>650</v>
      </c>
      <c r="B48" s="6" t="s">
        <v>69</v>
      </c>
      <c r="C48" s="6" t="s">
        <v>1598</v>
      </c>
      <c r="D48" s="26"/>
      <c r="F48" s="6"/>
      <c r="J48" s="37"/>
      <c r="K48" s="4" t="s">
        <v>1609</v>
      </c>
      <c r="M48" s="4" t="s">
        <v>1608</v>
      </c>
      <c r="V48" s="177"/>
      <c r="Y48" s="47"/>
      <c r="AA48" s="4" t="s">
        <v>1608</v>
      </c>
      <c r="AB48" s="247"/>
      <c r="AC48" s="231"/>
      <c r="AD48" s="63"/>
    </row>
    <row r="49" spans="1:30" s="6" customFormat="1">
      <c r="A49" s="6" t="s">
        <v>651</v>
      </c>
      <c r="B49" s="6" t="s">
        <v>69</v>
      </c>
      <c r="C49" s="6" t="s">
        <v>1598</v>
      </c>
      <c r="D49" s="29"/>
      <c r="J49" s="34"/>
      <c r="K49" s="6" t="s">
        <v>1613</v>
      </c>
      <c r="M49" s="6" t="s">
        <v>1613</v>
      </c>
      <c r="V49" s="167"/>
      <c r="Y49" s="50"/>
      <c r="AA49" s="6" t="s">
        <v>1612</v>
      </c>
      <c r="AB49" s="246"/>
      <c r="AC49" s="230"/>
      <c r="AD49" s="67"/>
    </row>
    <row r="50" spans="1:30" s="6" customFormat="1">
      <c r="A50" s="6" t="s">
        <v>652</v>
      </c>
      <c r="B50" s="6" t="s">
        <v>69</v>
      </c>
      <c r="C50" s="6" t="s">
        <v>1598</v>
      </c>
      <c r="D50" s="29"/>
      <c r="J50" s="34"/>
      <c r="K50" s="6" t="s">
        <v>1615</v>
      </c>
      <c r="M50" s="6" t="s">
        <v>1615</v>
      </c>
      <c r="V50" s="167"/>
      <c r="Y50" s="50"/>
      <c r="AA50" s="6" t="s">
        <v>1614</v>
      </c>
      <c r="AB50" s="246"/>
      <c r="AC50" s="230"/>
      <c r="AD50" s="67"/>
    </row>
    <row r="51" spans="1:30" s="6" customFormat="1">
      <c r="A51" s="6" t="s">
        <v>653</v>
      </c>
      <c r="B51" s="6" t="s">
        <v>69</v>
      </c>
      <c r="C51" s="6" t="s">
        <v>1598</v>
      </c>
      <c r="D51" s="29"/>
      <c r="J51" s="34"/>
      <c r="K51" s="6" t="s">
        <v>1617</v>
      </c>
      <c r="M51" s="6" t="s">
        <v>1617</v>
      </c>
      <c r="V51" s="167"/>
      <c r="Y51" s="50"/>
      <c r="AA51" s="6" t="s">
        <v>1616</v>
      </c>
      <c r="AB51" s="246"/>
      <c r="AC51" s="230"/>
      <c r="AD51" s="67"/>
    </row>
    <row r="52" spans="1:30" s="6" customFormat="1">
      <c r="A52" s="6" t="s">
        <v>654</v>
      </c>
      <c r="B52" s="6" t="s">
        <v>69</v>
      </c>
      <c r="C52" s="6" t="s">
        <v>1598</v>
      </c>
      <c r="D52" s="29"/>
      <c r="J52" s="34"/>
      <c r="K52" s="6" t="s">
        <v>1618</v>
      </c>
      <c r="M52" s="6" t="s">
        <v>1618</v>
      </c>
      <c r="V52" s="167"/>
      <c r="Y52" s="50"/>
      <c r="AA52" s="6" t="s">
        <v>1618</v>
      </c>
      <c r="AB52" s="246"/>
      <c r="AC52" s="230"/>
      <c r="AD52" s="67"/>
    </row>
    <row r="53" spans="1:30" s="6" customFormat="1">
      <c r="A53" s="6" t="s">
        <v>655</v>
      </c>
      <c r="B53" s="6" t="s">
        <v>69</v>
      </c>
      <c r="C53" s="6" t="s">
        <v>1598</v>
      </c>
      <c r="D53" s="29"/>
      <c r="J53" s="34"/>
      <c r="K53" s="6" t="s">
        <v>1621</v>
      </c>
      <c r="M53" s="6" t="s">
        <v>1621</v>
      </c>
      <c r="V53" s="167"/>
      <c r="Y53" s="50"/>
      <c r="AA53" s="6" t="s">
        <v>1621</v>
      </c>
      <c r="AB53" s="246"/>
      <c r="AC53" s="230"/>
      <c r="AD53" s="67"/>
    </row>
    <row r="54" spans="1:30" s="6" customFormat="1">
      <c r="A54" s="6" t="s">
        <v>656</v>
      </c>
      <c r="B54" s="6" t="s">
        <v>69</v>
      </c>
      <c r="C54" s="6" t="s">
        <v>1598</v>
      </c>
      <c r="D54" s="29"/>
      <c r="J54" s="34"/>
      <c r="K54" s="6" t="s">
        <v>1623</v>
      </c>
      <c r="M54" s="6" t="s">
        <v>1623</v>
      </c>
      <c r="V54" s="167"/>
      <c r="Y54" s="50"/>
      <c r="AA54" s="6" t="s">
        <v>1622</v>
      </c>
      <c r="AB54" s="246"/>
      <c r="AC54" s="230"/>
      <c r="AD54" s="67"/>
    </row>
    <row r="55" spans="1:30" s="6" customFormat="1">
      <c r="A55" s="6" t="s">
        <v>657</v>
      </c>
      <c r="B55" s="6" t="s">
        <v>69</v>
      </c>
      <c r="C55" s="6" t="s">
        <v>1598</v>
      </c>
      <c r="D55" s="29"/>
      <c r="J55" s="34"/>
      <c r="K55" s="6" t="s">
        <v>1610</v>
      </c>
      <c r="M55" s="6" t="s">
        <v>1610</v>
      </c>
      <c r="V55" s="167"/>
      <c r="Y55" s="50"/>
      <c r="AA55" s="6" t="s">
        <v>1624</v>
      </c>
      <c r="AB55" s="246"/>
      <c r="AC55" s="230"/>
      <c r="AD55" s="67"/>
    </row>
    <row r="56" spans="1:30" s="5" customFormat="1">
      <c r="A56" s="5" t="s">
        <v>327</v>
      </c>
      <c r="B56" s="5" t="s">
        <v>69</v>
      </c>
      <c r="C56" s="5" t="s">
        <v>248</v>
      </c>
      <c r="D56" s="30" t="s">
        <v>33</v>
      </c>
      <c r="E56" s="5" t="s">
        <v>1708</v>
      </c>
      <c r="F56" s="5" t="s">
        <v>89</v>
      </c>
      <c r="J56" s="40" t="s">
        <v>98</v>
      </c>
      <c r="K56" s="5" t="s">
        <v>94</v>
      </c>
      <c r="L56" s="5" t="s">
        <v>28</v>
      </c>
      <c r="P56" s="5" t="s">
        <v>100</v>
      </c>
      <c r="S56" s="5" t="s">
        <v>1709</v>
      </c>
      <c r="T56" s="5" t="s">
        <v>75</v>
      </c>
      <c r="U56" s="5" t="s">
        <v>55</v>
      </c>
      <c r="V56" s="176" t="s">
        <v>141</v>
      </c>
      <c r="W56" s="5" t="s">
        <v>1708</v>
      </c>
      <c r="X56" s="5" t="s">
        <v>132</v>
      </c>
      <c r="Y56" s="44"/>
      <c r="Z56" s="5" t="s">
        <v>108</v>
      </c>
      <c r="AB56" s="248"/>
      <c r="AC56" s="232"/>
      <c r="AD56" s="68"/>
    </row>
    <row r="57" spans="1:30" s="5" customFormat="1">
      <c r="A57" s="5" t="s">
        <v>328</v>
      </c>
      <c r="B57" s="5" t="s">
        <v>69</v>
      </c>
      <c r="C57" s="5" t="s">
        <v>248</v>
      </c>
      <c r="D57" s="30" t="s">
        <v>1635</v>
      </c>
      <c r="J57" s="40" t="s">
        <v>40</v>
      </c>
      <c r="S57" s="5" t="s">
        <v>733</v>
      </c>
      <c r="U57" s="5" t="s">
        <v>733</v>
      </c>
      <c r="V57" s="176" t="s">
        <v>31</v>
      </c>
      <c r="Y57" s="44"/>
      <c r="Z57" s="5" t="s">
        <v>40</v>
      </c>
      <c r="AB57" s="248"/>
      <c r="AC57" s="232"/>
      <c r="AD57" s="68"/>
    </row>
    <row r="58" spans="1:30" s="5" customFormat="1">
      <c r="A58" s="5" t="s">
        <v>329</v>
      </c>
      <c r="B58" s="5" t="s">
        <v>69</v>
      </c>
      <c r="C58" s="5" t="s">
        <v>248</v>
      </c>
      <c r="D58" s="30"/>
      <c r="J58" s="40"/>
      <c r="V58" s="176" t="s">
        <v>40</v>
      </c>
      <c r="Y58" s="44"/>
      <c r="Z58" s="5" t="s">
        <v>75</v>
      </c>
      <c r="AB58" s="248"/>
      <c r="AC58" s="232"/>
      <c r="AD58" s="68"/>
    </row>
    <row r="59" spans="1:30" s="5" customFormat="1">
      <c r="A59" s="5" t="s">
        <v>330</v>
      </c>
      <c r="B59" s="5" t="s">
        <v>69</v>
      </c>
      <c r="C59" s="5" t="s">
        <v>248</v>
      </c>
      <c r="D59" s="30"/>
      <c r="J59" s="40"/>
      <c r="V59" s="176"/>
      <c r="Y59" s="44"/>
      <c r="AB59" s="248"/>
      <c r="AC59" s="232"/>
      <c r="AD59" s="68"/>
    </row>
    <row r="60" spans="1:30" s="5" customFormat="1">
      <c r="A60" s="5" t="s">
        <v>331</v>
      </c>
      <c r="B60" s="5" t="s">
        <v>69</v>
      </c>
      <c r="C60" s="5" t="s">
        <v>248</v>
      </c>
      <c r="D60" s="30"/>
      <c r="J60" s="40"/>
      <c r="V60" s="176"/>
      <c r="Y60" s="44"/>
      <c r="AB60" s="248"/>
      <c r="AC60" s="232"/>
      <c r="AD60" s="68"/>
    </row>
    <row r="61" spans="1:30" s="5" customFormat="1">
      <c r="A61" s="5" t="s">
        <v>332</v>
      </c>
      <c r="B61" s="5" t="s">
        <v>69</v>
      </c>
      <c r="C61" s="5" t="s">
        <v>248</v>
      </c>
      <c r="D61" s="30"/>
      <c r="J61" s="40"/>
      <c r="V61" s="176"/>
      <c r="Y61" s="44"/>
      <c r="AB61" s="248"/>
      <c r="AC61" s="232"/>
      <c r="AD61" s="68"/>
    </row>
    <row r="62" spans="1:30" s="5" customFormat="1">
      <c r="A62" s="5" t="s">
        <v>333</v>
      </c>
      <c r="B62" s="5" t="s">
        <v>69</v>
      </c>
      <c r="C62" s="5" t="s">
        <v>248</v>
      </c>
      <c r="D62" s="30"/>
      <c r="J62" s="40"/>
      <c r="V62" s="176"/>
      <c r="Y62" s="44"/>
      <c r="AB62" s="248"/>
      <c r="AC62" s="232"/>
      <c r="AD62" s="68"/>
    </row>
    <row r="63" spans="1:30" s="5" customFormat="1">
      <c r="A63" s="5" t="s">
        <v>334</v>
      </c>
      <c r="B63" s="5" t="s">
        <v>69</v>
      </c>
      <c r="C63" s="5" t="s">
        <v>248</v>
      </c>
      <c r="D63" s="30"/>
      <c r="J63" s="40"/>
      <c r="V63" s="176"/>
      <c r="Y63" s="44"/>
      <c r="AB63" s="248"/>
      <c r="AC63" s="232"/>
      <c r="AD63" s="68"/>
    </row>
    <row r="64" spans="1:30" s="5" customFormat="1">
      <c r="A64" s="5" t="s">
        <v>335</v>
      </c>
      <c r="B64" s="5" t="s">
        <v>69</v>
      </c>
      <c r="C64" s="5" t="s">
        <v>248</v>
      </c>
      <c r="D64" s="30"/>
      <c r="J64" s="40"/>
      <c r="V64" s="176"/>
      <c r="Y64" s="44"/>
      <c r="AB64" s="248"/>
      <c r="AC64" s="232"/>
      <c r="AD64" s="68"/>
    </row>
    <row r="65" spans="1:30" s="5" customFormat="1">
      <c r="A65" s="5" t="s">
        <v>336</v>
      </c>
      <c r="B65" s="5" t="s">
        <v>69</v>
      </c>
      <c r="C65" s="5" t="s">
        <v>248</v>
      </c>
      <c r="D65" s="30"/>
      <c r="J65" s="40"/>
      <c r="V65" s="176"/>
      <c r="Y65" s="44"/>
      <c r="AB65" s="248"/>
      <c r="AC65" s="232"/>
      <c r="AD65" s="68"/>
    </row>
    <row r="66" spans="1:30" s="17" customFormat="1">
      <c r="A66" s="17" t="s">
        <v>337</v>
      </c>
      <c r="B66" s="17" t="s">
        <v>69</v>
      </c>
      <c r="C66" s="17" t="s">
        <v>242</v>
      </c>
      <c r="D66" s="31"/>
      <c r="H66" s="17" t="s">
        <v>647</v>
      </c>
      <c r="I66" s="17" t="s">
        <v>647</v>
      </c>
      <c r="J66" s="41"/>
      <c r="S66" s="17" t="s">
        <v>628</v>
      </c>
      <c r="T66" s="17" t="s">
        <v>211</v>
      </c>
      <c r="V66" s="175"/>
      <c r="Y66" s="51" t="s">
        <v>193</v>
      </c>
      <c r="AB66" s="249"/>
      <c r="AC66" s="233"/>
      <c r="AD66" s="69"/>
    </row>
    <row r="67" spans="1:30" s="17" customFormat="1">
      <c r="A67" s="17" t="s">
        <v>338</v>
      </c>
      <c r="B67" s="17" t="s">
        <v>69</v>
      </c>
      <c r="C67" s="17" t="s">
        <v>242</v>
      </c>
      <c r="D67" s="31"/>
      <c r="J67" s="41"/>
      <c r="S67" s="17" t="s">
        <v>150</v>
      </c>
      <c r="T67" s="17" t="s">
        <v>150</v>
      </c>
      <c r="V67" s="175"/>
      <c r="Y67" s="51"/>
      <c r="AB67" s="249"/>
      <c r="AC67" s="233"/>
      <c r="AD67" s="69"/>
    </row>
    <row r="68" spans="1:30" s="17" customFormat="1">
      <c r="A68" s="17" t="s">
        <v>339</v>
      </c>
      <c r="B68" s="17" t="s">
        <v>69</v>
      </c>
      <c r="C68" s="17" t="s">
        <v>242</v>
      </c>
      <c r="D68" s="31"/>
      <c r="J68" s="41"/>
      <c r="V68" s="175"/>
      <c r="Y68" s="51"/>
      <c r="AB68" s="249"/>
      <c r="AC68" s="233"/>
      <c r="AD68" s="69"/>
    </row>
    <row r="69" spans="1:30" s="17" customFormat="1">
      <c r="A69" s="17" t="s">
        <v>340</v>
      </c>
      <c r="B69" s="17" t="s">
        <v>69</v>
      </c>
      <c r="C69" s="17" t="s">
        <v>242</v>
      </c>
      <c r="D69" s="31"/>
      <c r="J69" s="41"/>
      <c r="V69" s="175"/>
      <c r="Y69" s="51"/>
      <c r="AB69" s="249"/>
      <c r="AC69" s="233"/>
      <c r="AD69" s="69"/>
    </row>
    <row r="70" spans="1:30" s="17" customFormat="1">
      <c r="A70" s="17" t="s">
        <v>341</v>
      </c>
      <c r="B70" s="17" t="s">
        <v>69</v>
      </c>
      <c r="C70" s="17" t="s">
        <v>242</v>
      </c>
      <c r="D70" s="31"/>
      <c r="J70" s="41"/>
      <c r="V70" s="175"/>
      <c r="Y70" s="51"/>
      <c r="AB70" s="249"/>
      <c r="AC70" s="233"/>
      <c r="AD70" s="69"/>
    </row>
    <row r="71" spans="1:30" s="17" customFormat="1">
      <c r="A71" s="17" t="s">
        <v>342</v>
      </c>
      <c r="B71" s="17" t="s">
        <v>69</v>
      </c>
      <c r="C71" s="17" t="s">
        <v>242</v>
      </c>
      <c r="D71" s="31"/>
      <c r="J71" s="41"/>
      <c r="V71" s="175"/>
      <c r="Y71" s="51"/>
      <c r="AB71" s="249"/>
      <c r="AC71" s="233"/>
      <c r="AD71" s="69"/>
    </row>
    <row r="72" spans="1:30" s="17" customFormat="1">
      <c r="A72" s="17" t="s">
        <v>343</v>
      </c>
      <c r="B72" s="17" t="s">
        <v>69</v>
      </c>
      <c r="C72" s="17" t="s">
        <v>242</v>
      </c>
      <c r="D72" s="31"/>
      <c r="J72" s="41"/>
      <c r="V72" s="175"/>
      <c r="Y72" s="51"/>
      <c r="AB72" s="249"/>
      <c r="AC72" s="233"/>
      <c r="AD72" s="69"/>
    </row>
    <row r="73" spans="1:30" s="17" customFormat="1">
      <c r="A73" s="17" t="s">
        <v>344</v>
      </c>
      <c r="B73" s="17" t="s">
        <v>69</v>
      </c>
      <c r="C73" s="17" t="s">
        <v>242</v>
      </c>
      <c r="D73" s="31"/>
      <c r="J73" s="41"/>
      <c r="V73" s="175"/>
      <c r="Y73" s="51"/>
      <c r="AB73" s="249"/>
      <c r="AC73" s="233"/>
      <c r="AD73" s="69"/>
    </row>
    <row r="74" spans="1:30" s="17" customFormat="1">
      <c r="A74" s="17" t="s">
        <v>345</v>
      </c>
      <c r="B74" s="17" t="s">
        <v>69</v>
      </c>
      <c r="C74" s="17" t="s">
        <v>242</v>
      </c>
      <c r="D74" s="31"/>
      <c r="J74" s="41"/>
      <c r="V74" s="175"/>
      <c r="Y74" s="51"/>
      <c r="AB74" s="249"/>
      <c r="AC74" s="233"/>
      <c r="AD74" s="69"/>
    </row>
    <row r="75" spans="1:30" s="17" customFormat="1">
      <c r="A75" s="17" t="s">
        <v>346</v>
      </c>
      <c r="B75" s="17" t="s">
        <v>69</v>
      </c>
      <c r="C75" s="17" t="s">
        <v>242</v>
      </c>
      <c r="D75" s="31"/>
      <c r="J75" s="41"/>
      <c r="V75" s="175"/>
      <c r="Y75" s="51"/>
      <c r="AB75" s="249"/>
      <c r="AC75" s="233"/>
      <c r="AD75" s="69"/>
    </row>
    <row r="76" spans="1:30" s="5" customFormat="1">
      <c r="A76" s="5" t="s">
        <v>347</v>
      </c>
      <c r="B76" s="5" t="s">
        <v>69</v>
      </c>
      <c r="C76" s="5" t="s">
        <v>247</v>
      </c>
      <c r="D76" s="30"/>
      <c r="J76" s="40"/>
      <c r="V76" s="176"/>
      <c r="Y76" s="44"/>
      <c r="AB76" s="248"/>
      <c r="AC76" s="232"/>
      <c r="AD76" s="68"/>
    </row>
    <row r="77" spans="1:30" s="5" customFormat="1">
      <c r="A77" s="5" t="s">
        <v>348</v>
      </c>
      <c r="B77" s="5" t="s">
        <v>69</v>
      </c>
      <c r="C77" s="5" t="s">
        <v>247</v>
      </c>
      <c r="D77" s="30"/>
      <c r="J77" s="40"/>
      <c r="V77" s="176"/>
      <c r="Y77" s="44"/>
      <c r="AB77" s="248"/>
      <c r="AC77" s="232"/>
      <c r="AD77" s="68"/>
    </row>
    <row r="78" spans="1:30" s="5" customFormat="1">
      <c r="A78" s="5" t="s">
        <v>349</v>
      </c>
      <c r="B78" s="5" t="s">
        <v>69</v>
      </c>
      <c r="C78" s="5" t="s">
        <v>247</v>
      </c>
      <c r="D78" s="30"/>
      <c r="J78" s="40"/>
      <c r="V78" s="176"/>
      <c r="Y78" s="44"/>
      <c r="AB78" s="248"/>
      <c r="AC78" s="232"/>
      <c r="AD78" s="68"/>
    </row>
    <row r="79" spans="1:30" s="5" customFormat="1">
      <c r="A79" s="5" t="s">
        <v>350</v>
      </c>
      <c r="B79" s="5" t="s">
        <v>69</v>
      </c>
      <c r="C79" s="5" t="s">
        <v>247</v>
      </c>
      <c r="D79" s="30"/>
      <c r="J79" s="40"/>
      <c r="V79" s="176"/>
      <c r="Y79" s="44"/>
      <c r="AB79" s="248"/>
      <c r="AC79" s="232"/>
      <c r="AD79" s="68"/>
    </row>
    <row r="80" spans="1:30" s="5" customFormat="1">
      <c r="A80" s="5" t="s">
        <v>351</v>
      </c>
      <c r="B80" s="5" t="s">
        <v>69</v>
      </c>
      <c r="C80" s="5" t="s">
        <v>247</v>
      </c>
      <c r="D80" s="30"/>
      <c r="J80" s="40"/>
      <c r="V80" s="176"/>
      <c r="Y80" s="44"/>
      <c r="AB80" s="248"/>
      <c r="AC80" s="232"/>
      <c r="AD80" s="68"/>
    </row>
    <row r="81" spans="1:30" s="5" customFormat="1">
      <c r="A81" s="5" t="s">
        <v>352</v>
      </c>
      <c r="B81" s="5" t="s">
        <v>69</v>
      </c>
      <c r="C81" s="5" t="s">
        <v>247</v>
      </c>
      <c r="D81" s="30"/>
      <c r="J81" s="40"/>
      <c r="V81" s="176"/>
      <c r="Y81" s="44"/>
      <c r="AB81" s="248"/>
      <c r="AC81" s="232"/>
      <c r="AD81" s="68"/>
    </row>
    <row r="82" spans="1:30" s="5" customFormat="1">
      <c r="A82" s="5" t="s">
        <v>353</v>
      </c>
      <c r="B82" s="5" t="s">
        <v>69</v>
      </c>
      <c r="C82" s="5" t="s">
        <v>247</v>
      </c>
      <c r="D82" s="30"/>
      <c r="J82" s="40"/>
      <c r="V82" s="176"/>
      <c r="Y82" s="44"/>
      <c r="AB82" s="248"/>
      <c r="AC82" s="232"/>
      <c r="AD82" s="68"/>
    </row>
    <row r="83" spans="1:30" s="5" customFormat="1">
      <c r="A83" s="5" t="s">
        <v>354</v>
      </c>
      <c r="B83" s="5" t="s">
        <v>69</v>
      </c>
      <c r="C83" s="5" t="s">
        <v>247</v>
      </c>
      <c r="D83" s="30"/>
      <c r="J83" s="40"/>
      <c r="V83" s="176"/>
      <c r="Y83" s="44"/>
      <c r="AB83" s="248"/>
      <c r="AC83" s="232"/>
      <c r="AD83" s="68"/>
    </row>
    <row r="84" spans="1:30" s="5" customFormat="1">
      <c r="A84" s="5" t="s">
        <v>355</v>
      </c>
      <c r="B84" s="5" t="s">
        <v>69</v>
      </c>
      <c r="C84" s="5" t="s">
        <v>247</v>
      </c>
      <c r="D84" s="30"/>
      <c r="J84" s="40"/>
      <c r="V84" s="176"/>
      <c r="Y84" s="44"/>
      <c r="AB84" s="248"/>
      <c r="AC84" s="232"/>
      <c r="AD84" s="68"/>
    </row>
    <row r="85" spans="1:30" s="5" customFormat="1">
      <c r="A85" s="5" t="s">
        <v>356</v>
      </c>
      <c r="B85" s="5" t="s">
        <v>69</v>
      </c>
      <c r="C85" s="5" t="s">
        <v>247</v>
      </c>
      <c r="D85" s="30"/>
      <c r="J85" s="40"/>
      <c r="V85" s="176"/>
      <c r="Y85" s="44"/>
      <c r="AB85" s="248"/>
      <c r="AC85" s="232"/>
      <c r="AD85" s="68"/>
    </row>
    <row r="86" spans="1:30" s="4" customFormat="1">
      <c r="A86" s="4" t="s">
        <v>358</v>
      </c>
      <c r="B86" s="4" t="s">
        <v>69</v>
      </c>
      <c r="C86" s="4" t="s">
        <v>723</v>
      </c>
      <c r="D86" s="26" t="s">
        <v>461</v>
      </c>
      <c r="E86" s="4" t="s">
        <v>465</v>
      </c>
      <c r="F86" s="4" t="s">
        <v>469</v>
      </c>
      <c r="J86" s="37" t="s">
        <v>473</v>
      </c>
      <c r="K86" s="4" t="s">
        <v>611</v>
      </c>
      <c r="S86" s="4" t="s">
        <v>626</v>
      </c>
      <c r="T86" s="4" t="s">
        <v>632</v>
      </c>
      <c r="V86" s="177" t="s">
        <v>635</v>
      </c>
      <c r="W86" s="4" t="s">
        <v>194</v>
      </c>
      <c r="X86" s="4" t="s">
        <v>638</v>
      </c>
      <c r="Y86" s="47"/>
      <c r="Z86" s="4" t="s">
        <v>474</v>
      </c>
      <c r="AB86" s="247"/>
      <c r="AC86" s="231"/>
      <c r="AD86" s="63"/>
    </row>
    <row r="87" spans="1:30" s="4" customFormat="1">
      <c r="A87" s="4" t="s">
        <v>359</v>
      </c>
      <c r="B87" s="4" t="s">
        <v>69</v>
      </c>
      <c r="C87" s="4" t="s">
        <v>723</v>
      </c>
      <c r="D87" s="26" t="s">
        <v>462</v>
      </c>
      <c r="J87" s="37" t="s">
        <v>474</v>
      </c>
      <c r="S87" s="4" t="s">
        <v>627</v>
      </c>
      <c r="V87" s="177" t="s">
        <v>636</v>
      </c>
      <c r="Y87" s="47"/>
      <c r="Z87" s="4" t="s">
        <v>641</v>
      </c>
      <c r="AB87" s="247"/>
      <c r="AC87" s="231"/>
      <c r="AD87" s="63"/>
    </row>
    <row r="88" spans="1:30" s="4" customFormat="1">
      <c r="A88" s="4" t="s">
        <v>360</v>
      </c>
      <c r="B88" s="4" t="s">
        <v>69</v>
      </c>
      <c r="C88" s="4" t="s">
        <v>723</v>
      </c>
      <c r="D88" s="26"/>
      <c r="J88" s="37"/>
      <c r="V88" s="177" t="s">
        <v>637</v>
      </c>
      <c r="Y88" s="47"/>
      <c r="Z88" s="4" t="s">
        <v>642</v>
      </c>
      <c r="AB88" s="247"/>
      <c r="AC88" s="231"/>
      <c r="AD88" s="63"/>
    </row>
    <row r="89" spans="1:30" s="4" customFormat="1">
      <c r="A89" s="4" t="s">
        <v>361</v>
      </c>
      <c r="B89" s="4" t="s">
        <v>69</v>
      </c>
      <c r="C89" s="4" t="s">
        <v>723</v>
      </c>
      <c r="D89" s="26"/>
      <c r="J89" s="37"/>
      <c r="V89" s="177"/>
      <c r="Y89" s="47"/>
      <c r="AB89" s="247"/>
      <c r="AC89" s="231"/>
      <c r="AD89" s="63"/>
    </row>
    <row r="90" spans="1:30" s="4" customFormat="1">
      <c r="A90" s="4" t="s">
        <v>362</v>
      </c>
      <c r="B90" s="4" t="s">
        <v>69</v>
      </c>
      <c r="C90" s="4" t="s">
        <v>723</v>
      </c>
      <c r="D90" s="26"/>
      <c r="J90" s="37"/>
      <c r="V90" s="177"/>
      <c r="Y90" s="47"/>
      <c r="AB90" s="247"/>
      <c r="AC90" s="231"/>
      <c r="AD90" s="63"/>
    </row>
    <row r="91" spans="1:30" s="4" customFormat="1">
      <c r="A91" s="4" t="s">
        <v>363</v>
      </c>
      <c r="B91" s="4" t="s">
        <v>69</v>
      </c>
      <c r="C91" s="4" t="s">
        <v>723</v>
      </c>
      <c r="D91" s="26"/>
      <c r="J91" s="37"/>
      <c r="V91" s="177"/>
      <c r="Y91" s="47"/>
      <c r="AB91" s="247"/>
      <c r="AC91" s="231"/>
      <c r="AD91" s="63"/>
    </row>
    <row r="92" spans="1:30" s="4" customFormat="1">
      <c r="A92" s="4" t="s">
        <v>364</v>
      </c>
      <c r="B92" s="4" t="s">
        <v>69</v>
      </c>
      <c r="C92" s="4" t="s">
        <v>723</v>
      </c>
      <c r="D92" s="26"/>
      <c r="J92" s="37"/>
      <c r="V92" s="177"/>
      <c r="Y92" s="47"/>
      <c r="AB92" s="247"/>
      <c r="AC92" s="231"/>
      <c r="AD92" s="63"/>
    </row>
    <row r="93" spans="1:30" s="4" customFormat="1">
      <c r="A93" s="4" t="s">
        <v>365</v>
      </c>
      <c r="B93" s="4" t="s">
        <v>69</v>
      </c>
      <c r="C93" s="4" t="s">
        <v>723</v>
      </c>
      <c r="D93" s="26"/>
      <c r="J93" s="37"/>
      <c r="V93" s="177"/>
      <c r="Y93" s="47"/>
      <c r="AB93" s="247"/>
      <c r="AC93" s="231"/>
      <c r="AD93" s="63"/>
    </row>
    <row r="94" spans="1:30" s="4" customFormat="1">
      <c r="A94" s="4" t="s">
        <v>366</v>
      </c>
      <c r="B94" s="4" t="s">
        <v>69</v>
      </c>
      <c r="C94" s="4" t="s">
        <v>723</v>
      </c>
      <c r="D94" s="26"/>
      <c r="J94" s="37"/>
      <c r="V94" s="177"/>
      <c r="Y94" s="47"/>
      <c r="AB94" s="247"/>
      <c r="AC94" s="231"/>
      <c r="AD94" s="63"/>
    </row>
    <row r="95" spans="1:30" s="4" customFormat="1">
      <c r="A95" s="4" t="s">
        <v>367</v>
      </c>
      <c r="B95" s="4" t="s">
        <v>69</v>
      </c>
      <c r="C95" s="4" t="s">
        <v>723</v>
      </c>
      <c r="D95" s="26"/>
      <c r="J95" s="37"/>
      <c r="V95" s="177"/>
      <c r="Y95" s="47"/>
      <c r="AB95" s="247"/>
      <c r="AC95" s="231"/>
      <c r="AD95" s="63"/>
    </row>
    <row r="96" spans="1:30" s="6" customFormat="1">
      <c r="A96" s="6" t="s">
        <v>368</v>
      </c>
      <c r="B96" s="6" t="s">
        <v>69</v>
      </c>
      <c r="C96" s="6" t="s">
        <v>723</v>
      </c>
      <c r="D96" s="29"/>
      <c r="J96" s="34"/>
      <c r="S96" s="6" t="s">
        <v>474</v>
      </c>
      <c r="T96" s="6" t="s">
        <v>474</v>
      </c>
      <c r="V96" s="167"/>
      <c r="Y96" s="50" t="s">
        <v>639</v>
      </c>
      <c r="AB96" s="246"/>
      <c r="AC96" s="230"/>
      <c r="AD96" s="67"/>
    </row>
    <row r="97" spans="1:30" s="6" customFormat="1">
      <c r="A97" s="6" t="s">
        <v>369</v>
      </c>
      <c r="B97" s="6" t="s">
        <v>69</v>
      </c>
      <c r="C97" s="6" t="s">
        <v>723</v>
      </c>
      <c r="D97" s="29"/>
      <c r="J97" s="34"/>
      <c r="S97" s="6" t="s">
        <v>629</v>
      </c>
      <c r="T97" s="6" t="s">
        <v>633</v>
      </c>
      <c r="V97" s="167"/>
      <c r="Y97" s="50"/>
      <c r="AB97" s="246"/>
      <c r="AC97" s="230"/>
      <c r="AD97" s="67"/>
    </row>
    <row r="98" spans="1:30" s="6" customFormat="1">
      <c r="A98" s="6" t="s">
        <v>370</v>
      </c>
      <c r="B98" s="6" t="s">
        <v>69</v>
      </c>
      <c r="C98" s="6" t="s">
        <v>723</v>
      </c>
      <c r="D98" s="29"/>
      <c r="J98" s="34"/>
      <c r="V98" s="167"/>
      <c r="Y98" s="50"/>
      <c r="AB98" s="246"/>
      <c r="AC98" s="230"/>
      <c r="AD98" s="67"/>
    </row>
    <row r="99" spans="1:30" s="6" customFormat="1">
      <c r="A99" s="6" t="s">
        <v>371</v>
      </c>
      <c r="B99" s="6" t="s">
        <v>69</v>
      </c>
      <c r="C99" s="6" t="s">
        <v>723</v>
      </c>
      <c r="D99" s="29"/>
      <c r="J99" s="34"/>
      <c r="V99" s="167"/>
      <c r="Y99" s="50"/>
      <c r="AB99" s="246"/>
      <c r="AC99" s="230"/>
      <c r="AD99" s="67"/>
    </row>
    <row r="100" spans="1:30" s="6" customFormat="1">
      <c r="A100" s="6" t="s">
        <v>372</v>
      </c>
      <c r="B100" s="6" t="s">
        <v>69</v>
      </c>
      <c r="C100" s="6" t="s">
        <v>723</v>
      </c>
      <c r="D100" s="29"/>
      <c r="J100" s="34"/>
      <c r="V100" s="167"/>
      <c r="Y100" s="50"/>
      <c r="AB100" s="246"/>
      <c r="AC100" s="230"/>
      <c r="AD100" s="67"/>
    </row>
    <row r="101" spans="1:30" s="6" customFormat="1">
      <c r="A101" s="6" t="s">
        <v>373</v>
      </c>
      <c r="B101" s="6" t="s">
        <v>69</v>
      </c>
      <c r="C101" s="6" t="s">
        <v>723</v>
      </c>
      <c r="D101" s="29"/>
      <c r="J101" s="34"/>
      <c r="V101" s="167"/>
      <c r="Y101" s="50"/>
      <c r="AB101" s="246"/>
      <c r="AC101" s="230"/>
      <c r="AD101" s="67"/>
    </row>
    <row r="102" spans="1:30" s="6" customFormat="1">
      <c r="A102" s="6" t="s">
        <v>374</v>
      </c>
      <c r="B102" s="6" t="s">
        <v>69</v>
      </c>
      <c r="C102" s="6" t="s">
        <v>723</v>
      </c>
      <c r="D102" s="29"/>
      <c r="J102" s="34"/>
      <c r="V102" s="167"/>
      <c r="Y102" s="50"/>
      <c r="AB102" s="246"/>
      <c r="AC102" s="230"/>
      <c r="AD102" s="67"/>
    </row>
    <row r="103" spans="1:30" s="6" customFormat="1">
      <c r="A103" s="6" t="s">
        <v>375</v>
      </c>
      <c r="B103" s="6" t="s">
        <v>69</v>
      </c>
      <c r="C103" s="6" t="s">
        <v>723</v>
      </c>
      <c r="D103" s="29"/>
      <c r="J103" s="34"/>
      <c r="V103" s="167"/>
      <c r="Y103" s="50"/>
      <c r="AB103" s="246"/>
      <c r="AC103" s="230"/>
      <c r="AD103" s="67"/>
    </row>
    <row r="104" spans="1:30" s="6" customFormat="1">
      <c r="A104" s="6" t="s">
        <v>376</v>
      </c>
      <c r="B104" s="6" t="s">
        <v>69</v>
      </c>
      <c r="C104" s="6" t="s">
        <v>723</v>
      </c>
      <c r="D104" s="29"/>
      <c r="J104" s="34"/>
      <c r="V104" s="167"/>
      <c r="Y104" s="50"/>
      <c r="AB104" s="246"/>
      <c r="AC104" s="230"/>
      <c r="AD104" s="67"/>
    </row>
    <row r="105" spans="1:30" s="6" customFormat="1">
      <c r="A105" s="6" t="s">
        <v>377</v>
      </c>
      <c r="B105" s="6" t="s">
        <v>69</v>
      </c>
      <c r="C105" s="6" t="s">
        <v>723</v>
      </c>
      <c r="D105" s="29"/>
      <c r="J105" s="34"/>
      <c r="V105" s="167"/>
      <c r="Y105" s="50"/>
      <c r="AB105" s="246"/>
      <c r="AC105" s="230"/>
      <c r="AD105" s="67"/>
    </row>
    <row r="106" spans="1:30" s="4" customFormat="1">
      <c r="A106" s="4" t="s">
        <v>378</v>
      </c>
      <c r="B106" s="4" t="s">
        <v>69</v>
      </c>
      <c r="C106" s="4" t="s">
        <v>723</v>
      </c>
      <c r="D106" s="26"/>
      <c r="J106" s="37"/>
      <c r="V106" s="177"/>
      <c r="Y106" s="47"/>
      <c r="AB106" s="247"/>
      <c r="AC106" s="231"/>
      <c r="AD106" s="63"/>
    </row>
    <row r="107" spans="1:30" s="4" customFormat="1">
      <c r="A107" s="4" t="s">
        <v>379</v>
      </c>
      <c r="B107" s="4" t="s">
        <v>69</v>
      </c>
      <c r="C107" s="4" t="s">
        <v>723</v>
      </c>
      <c r="D107" s="26"/>
      <c r="J107" s="37"/>
      <c r="V107" s="177"/>
      <c r="Y107" s="47"/>
      <c r="AB107" s="247"/>
      <c r="AC107" s="231"/>
      <c r="AD107" s="63"/>
    </row>
    <row r="108" spans="1:30" s="4" customFormat="1">
      <c r="A108" s="4" t="s">
        <v>380</v>
      </c>
      <c r="B108" s="4" t="s">
        <v>69</v>
      </c>
      <c r="C108" s="4" t="s">
        <v>723</v>
      </c>
      <c r="D108" s="26"/>
      <c r="J108" s="37"/>
      <c r="V108" s="177"/>
      <c r="Y108" s="47"/>
      <c r="AB108" s="247"/>
      <c r="AC108" s="231"/>
      <c r="AD108" s="63"/>
    </row>
    <row r="109" spans="1:30" s="4" customFormat="1">
      <c r="A109" s="4" t="s">
        <v>381</v>
      </c>
      <c r="B109" s="4" t="s">
        <v>69</v>
      </c>
      <c r="C109" s="4" t="s">
        <v>723</v>
      </c>
      <c r="D109" s="26"/>
      <c r="J109" s="37"/>
      <c r="V109" s="177"/>
      <c r="Y109" s="47"/>
      <c r="AB109" s="247"/>
      <c r="AC109" s="231"/>
      <c r="AD109" s="63"/>
    </row>
    <row r="110" spans="1:30" s="4" customFormat="1">
      <c r="A110" s="4" t="s">
        <v>382</v>
      </c>
      <c r="B110" s="4" t="s">
        <v>69</v>
      </c>
      <c r="C110" s="4" t="s">
        <v>723</v>
      </c>
      <c r="D110" s="26"/>
      <c r="J110" s="37"/>
      <c r="V110" s="177"/>
      <c r="Y110" s="47"/>
      <c r="AB110" s="247"/>
      <c r="AC110" s="231"/>
      <c r="AD110" s="63"/>
    </row>
    <row r="111" spans="1:30" s="4" customFormat="1">
      <c r="A111" s="4" t="s">
        <v>383</v>
      </c>
      <c r="B111" s="4" t="s">
        <v>69</v>
      </c>
      <c r="C111" s="4" t="s">
        <v>723</v>
      </c>
      <c r="D111" s="26"/>
      <c r="J111" s="37"/>
      <c r="V111" s="177"/>
      <c r="Y111" s="47"/>
      <c r="AB111" s="247"/>
      <c r="AC111" s="231"/>
      <c r="AD111" s="63"/>
    </row>
    <row r="112" spans="1:30" s="4" customFormat="1">
      <c r="A112" s="4" t="s">
        <v>384</v>
      </c>
      <c r="B112" s="4" t="s">
        <v>69</v>
      </c>
      <c r="C112" s="4" t="s">
        <v>723</v>
      </c>
      <c r="D112" s="26"/>
      <c r="J112" s="37"/>
      <c r="V112" s="177"/>
      <c r="Y112" s="47"/>
      <c r="AB112" s="247"/>
      <c r="AC112" s="231"/>
      <c r="AD112" s="63"/>
    </row>
    <row r="113" spans="1:30" s="4" customFormat="1">
      <c r="A113" s="4" t="s">
        <v>385</v>
      </c>
      <c r="B113" s="4" t="s">
        <v>69</v>
      </c>
      <c r="C113" s="4" t="s">
        <v>723</v>
      </c>
      <c r="D113" s="26"/>
      <c r="J113" s="37"/>
      <c r="V113" s="177"/>
      <c r="Y113" s="47"/>
      <c r="AB113" s="247"/>
      <c r="AC113" s="231"/>
      <c r="AD113" s="63"/>
    </row>
    <row r="114" spans="1:30" s="4" customFormat="1">
      <c r="A114" s="4" t="s">
        <v>386</v>
      </c>
      <c r="B114" s="4" t="s">
        <v>69</v>
      </c>
      <c r="C114" s="4" t="s">
        <v>723</v>
      </c>
      <c r="D114" s="26"/>
      <c r="J114" s="37"/>
      <c r="V114" s="177"/>
      <c r="Y114" s="47"/>
      <c r="AB114" s="247"/>
      <c r="AC114" s="231"/>
      <c r="AD114" s="63"/>
    </row>
    <row r="115" spans="1:30" s="4" customFormat="1">
      <c r="A115" s="4" t="s">
        <v>387</v>
      </c>
      <c r="B115" s="4" t="s">
        <v>69</v>
      </c>
      <c r="C115" s="4" t="s">
        <v>723</v>
      </c>
      <c r="D115" s="26"/>
      <c r="J115" s="37"/>
      <c r="V115" s="177"/>
      <c r="Y115" s="47"/>
      <c r="AB115" s="247"/>
      <c r="AC115" s="231"/>
      <c r="AD115" s="63"/>
    </row>
    <row r="116" spans="1:30" s="18" customFormat="1">
      <c r="D116" s="32"/>
      <c r="J116" s="42"/>
      <c r="V116" s="178"/>
      <c r="Y116" s="52"/>
      <c r="AB116" s="250"/>
      <c r="AC116" s="234"/>
      <c r="AD116" s="70"/>
    </row>
  </sheetData>
  <phoneticPr fontId="3" type="noConversion"/>
  <conditionalFormatting sqref="A5:XFD6">
    <cfRule type="cellIs" dxfId="56" priority="23" operator="equal">
      <formula>"2"</formula>
    </cfRule>
    <cfRule type="cellIs" dxfId="55" priority="24" operator="equal">
      <formula>"1"</formula>
    </cfRule>
    <cfRule type="cellIs" dxfId="54" priority="25" operator="equal">
      <formula>"0"</formula>
    </cfRule>
  </conditionalFormatting>
  <conditionalFormatting sqref="A7:XFD7 A47:XFD47">
    <cfRule type="cellIs" dxfId="53" priority="26" operator="equal">
      <formula>"true"</formula>
    </cfRule>
  </conditionalFormatting>
  <conditionalFormatting sqref="A48:XFD48">
    <cfRule type="cellIs" dxfId="52" priority="17" operator="equal">
      <formula>"ENUM_DAMAGE_MAGICAL"</formula>
    </cfRule>
    <cfRule type="cellIs" dxfId="51" priority="18" operator="equal">
      <formula>"ENUM_DAMAGE_PHYSICAL"</formula>
    </cfRule>
  </conditionalFormatting>
  <conditionalFormatting sqref="A48:XFD55">
    <cfRule type="cellIs" dxfId="50" priority="19" operator="equal">
      <formula>""</formula>
    </cfRule>
  </conditionalFormatting>
  <conditionalFormatting sqref="A49:XFD49">
    <cfRule type="cellIs" dxfId="49" priority="4" operator="equal">
      <formula>"ENUM_DAMAGE_ETC"</formula>
    </cfRule>
    <cfRule type="cellIs" dxfId="48" priority="15" operator="equal">
      <formula>"ENUM_DAMAGE_SPELL"</formula>
    </cfRule>
    <cfRule type="cellIs" dxfId="47" priority="16" operator="equal">
      <formula>"ENUM_DAMAGE_BASIC"</formula>
    </cfRule>
  </conditionalFormatting>
  <conditionalFormatting sqref="A50:XFD50">
    <cfRule type="cellIs" dxfId="46" priority="13" operator="equal">
      <formula>"ENUM_DAMAGE_PERIODIC"</formula>
    </cfRule>
    <cfRule type="cellIs" dxfId="45" priority="14" operator="equal">
      <formula>"ENUM_DAMAGE_SINGLE"</formula>
    </cfRule>
  </conditionalFormatting>
  <conditionalFormatting sqref="A51:XFD51">
    <cfRule type="cellIs" dxfId="44" priority="11" operator="equal">
      <formula>"ENUM_DAMAGE_INNER"</formula>
    </cfRule>
  </conditionalFormatting>
  <conditionalFormatting sqref="A52:XFD52">
    <cfRule type="cellIs" dxfId="43" priority="9" operator="equal">
      <formula>"ENUM_DAMAGE_NONTARGET"</formula>
    </cfRule>
    <cfRule type="cellIs" dxfId="42" priority="10" operator="equal">
      <formula>"ENUM_DAMAGE_TARGET"</formula>
    </cfRule>
  </conditionalFormatting>
  <conditionalFormatting sqref="A53:XFD53">
    <cfRule type="cellIs" dxfId="41" priority="7" operator="equal">
      <formula>"ENUM_DAMAGE_NONAOE"</formula>
    </cfRule>
    <cfRule type="cellIs" dxfId="40" priority="8" operator="equal">
      <formula>"ENUM_DAMAGE_AOE"</formula>
    </cfRule>
  </conditionalFormatting>
  <conditionalFormatting sqref="A54:XFD54">
    <cfRule type="cellIs" dxfId="39" priority="5" operator="equal">
      <formula>"ENUM_DAMAGE_NONHIT"</formula>
    </cfRule>
    <cfRule type="cellIs" dxfId="38" priority="6" operator="equal">
      <formula>"ENUM_DAMAGE_ONHIT"</formula>
    </cfRule>
  </conditionalFormatting>
  <conditionalFormatting sqref="A55:XFD55">
    <cfRule type="cellIs" dxfId="37" priority="2" operator="equal">
      <formula>"ENUM_DAMAGE_RANGED"</formula>
    </cfRule>
    <cfRule type="cellIs" dxfId="36" priority="3" operator="equal">
      <formula>"ENUM_DAMAGE_MELEE"</formula>
    </cfRule>
  </conditionalFormatting>
  <conditionalFormatting sqref="C1:C1048576">
    <cfRule type="cellIs" dxfId="35" priority="1" operator="equal">
      <formula>"ignore"</formula>
    </cfRule>
  </conditionalFormatting>
  <conditionalFormatting sqref="F51">
    <cfRule type="cellIs" dxfId="34" priority="12" operator="equal">
      <formula>"ENUM_DAMAGE_OUTTER"</formula>
    </cfRule>
  </conditionalFormatting>
  <conditionalFormatting sqref="I47:XFD55 A48:E55 G48:H55 A47:H47">
    <cfRule type="cellIs" dxfId="33" priority="22" operator="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36BB9-2F6B-46F9-B5CA-2EDF567D7AD3}">
  <dimension ref="A1:CN136"/>
  <sheetViews>
    <sheetView zoomScaleNormal="100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G13" sqref="G13"/>
    </sheetView>
  </sheetViews>
  <sheetFormatPr defaultColWidth="9.125" defaultRowHeight="16.5"/>
  <cols>
    <col min="1" max="1" width="27.375" style="339" customWidth="1"/>
    <col min="2" max="2" width="4.875" style="366" customWidth="1"/>
    <col min="3" max="3" width="9.25" style="366" customWidth="1"/>
    <col min="4" max="4" width="10.75" style="25" customWidth="1"/>
    <col min="5" max="42" width="9.125" style="2"/>
    <col min="43" max="43" width="9.125" style="36"/>
    <col min="44" max="64" width="9.125" style="2"/>
    <col min="65" max="65" width="9.125" style="169"/>
    <col min="66" max="69" width="9.125" style="2"/>
    <col min="70" max="70" width="9.125" style="46"/>
    <col min="71" max="78" width="9.125" style="2"/>
    <col min="79" max="79" width="9.125" style="56"/>
    <col min="80" max="80" width="9.125" style="2"/>
    <col min="81" max="81" width="9.125" style="65"/>
    <col min="82" max="82" width="9.125" style="2"/>
    <col min="83" max="83" width="9.125" style="25"/>
    <col min="84" max="91" width="9.125" style="2"/>
    <col min="92" max="92" width="9.125" style="154"/>
    <col min="93" max="16384" width="9.125" style="2"/>
  </cols>
  <sheetData>
    <row r="1" spans="1:92" s="1" customFormat="1">
      <c r="A1" s="336" t="s">
        <v>240</v>
      </c>
      <c r="B1" s="364" t="s">
        <v>433</v>
      </c>
      <c r="C1" s="364" t="s">
        <v>252</v>
      </c>
      <c r="D1" s="22">
        <v>1000</v>
      </c>
      <c r="E1" s="1">
        <v>1010</v>
      </c>
      <c r="F1" s="1">
        <v>1020</v>
      </c>
      <c r="G1" s="1">
        <v>1030</v>
      </c>
      <c r="H1" s="1">
        <v>1040</v>
      </c>
      <c r="I1" s="1">
        <v>1050</v>
      </c>
      <c r="J1" s="1">
        <v>1060</v>
      </c>
      <c r="K1" s="1">
        <v>1070</v>
      </c>
      <c r="L1" s="1">
        <v>1080</v>
      </c>
      <c r="M1" s="1">
        <v>1090</v>
      </c>
      <c r="N1" s="1" t="s">
        <v>775</v>
      </c>
      <c r="O1" s="1" t="s">
        <v>776</v>
      </c>
      <c r="P1" s="1" t="s">
        <v>777</v>
      </c>
      <c r="Q1" s="1" t="s">
        <v>778</v>
      </c>
      <c r="R1" s="1" t="s">
        <v>780</v>
      </c>
      <c r="S1" s="1" t="s">
        <v>779</v>
      </c>
      <c r="T1" s="1" t="s">
        <v>781</v>
      </c>
      <c r="U1" s="1" t="s">
        <v>782</v>
      </c>
      <c r="V1" s="1" t="s">
        <v>783</v>
      </c>
      <c r="W1" s="1" t="s">
        <v>784</v>
      </c>
      <c r="X1" s="1" t="s">
        <v>785</v>
      </c>
      <c r="Y1" s="1" t="s">
        <v>786</v>
      </c>
      <c r="Z1" s="1" t="s">
        <v>787</v>
      </c>
      <c r="AA1" s="1" t="s">
        <v>788</v>
      </c>
      <c r="AB1" s="1" t="s">
        <v>789</v>
      </c>
      <c r="AC1" s="1" t="s">
        <v>790</v>
      </c>
      <c r="AD1" s="1" t="s">
        <v>791</v>
      </c>
      <c r="AE1" s="1" t="s">
        <v>792</v>
      </c>
      <c r="AF1" s="1" t="s">
        <v>793</v>
      </c>
      <c r="AG1" s="1" t="s">
        <v>794</v>
      </c>
      <c r="AH1" s="1" t="s">
        <v>770</v>
      </c>
      <c r="AI1" s="1" t="s">
        <v>771</v>
      </c>
      <c r="AJ1" s="1" t="s">
        <v>772</v>
      </c>
      <c r="AK1" s="1" t="s">
        <v>773</v>
      </c>
      <c r="AL1" s="1" t="s">
        <v>774</v>
      </c>
      <c r="AM1" s="1" t="s">
        <v>846</v>
      </c>
      <c r="AN1" s="1" t="s">
        <v>849</v>
      </c>
      <c r="AO1" s="1" t="s">
        <v>875</v>
      </c>
      <c r="AP1" s="1" t="s">
        <v>880</v>
      </c>
      <c r="AQ1" s="33">
        <v>2000</v>
      </c>
      <c r="AR1" s="7">
        <v>2030</v>
      </c>
      <c r="AS1" s="7">
        <v>2040</v>
      </c>
      <c r="AT1" s="7">
        <v>2050</v>
      </c>
      <c r="AU1" s="7">
        <v>2060</v>
      </c>
      <c r="AV1" s="7">
        <v>2070</v>
      </c>
      <c r="AW1" s="7">
        <v>2080</v>
      </c>
      <c r="AX1" s="7">
        <v>2090</v>
      </c>
      <c r="AY1" s="7" t="s">
        <v>800</v>
      </c>
      <c r="AZ1" s="7" t="s">
        <v>801</v>
      </c>
      <c r="BA1" s="7" t="s">
        <v>802</v>
      </c>
      <c r="BB1" s="7" t="s">
        <v>803</v>
      </c>
      <c r="BC1" s="7" t="s">
        <v>813</v>
      </c>
      <c r="BD1" s="7" t="s">
        <v>804</v>
      </c>
      <c r="BE1" s="7" t="s">
        <v>805</v>
      </c>
      <c r="BF1" s="7" t="s">
        <v>806</v>
      </c>
      <c r="BG1" s="7" t="s">
        <v>807</v>
      </c>
      <c r="BH1" s="7" t="s">
        <v>808</v>
      </c>
      <c r="BI1" s="7" t="s">
        <v>809</v>
      </c>
      <c r="BJ1" s="7" t="s">
        <v>810</v>
      </c>
      <c r="BK1" s="7" t="s">
        <v>811</v>
      </c>
      <c r="BL1" s="7" t="s">
        <v>812</v>
      </c>
      <c r="BM1" s="166" t="s">
        <v>795</v>
      </c>
      <c r="BN1" s="7" t="s">
        <v>796</v>
      </c>
      <c r="BO1" s="7" t="s">
        <v>797</v>
      </c>
      <c r="BP1" s="7" t="s">
        <v>798</v>
      </c>
      <c r="BQ1" s="7" t="s">
        <v>799</v>
      </c>
      <c r="BR1" s="43" t="s">
        <v>814</v>
      </c>
      <c r="BS1" s="8" t="s">
        <v>815</v>
      </c>
      <c r="BT1" s="8" t="s">
        <v>816</v>
      </c>
      <c r="BU1" s="8" t="s">
        <v>817</v>
      </c>
      <c r="BV1" s="8" t="s">
        <v>818</v>
      </c>
      <c r="BW1" s="8" t="s">
        <v>819</v>
      </c>
      <c r="BX1" s="8" t="s">
        <v>820</v>
      </c>
      <c r="BY1" s="8" t="s">
        <v>821</v>
      </c>
      <c r="BZ1" s="8" t="s">
        <v>865</v>
      </c>
      <c r="CA1" s="53" t="s">
        <v>822</v>
      </c>
      <c r="CB1" s="9" t="s">
        <v>823</v>
      </c>
      <c r="CC1" s="62" t="s">
        <v>824</v>
      </c>
      <c r="CD1" s="3" t="s">
        <v>825</v>
      </c>
      <c r="CE1" s="22" t="s">
        <v>222</v>
      </c>
      <c r="CF1" s="1" t="s">
        <v>223</v>
      </c>
      <c r="CG1" s="1" t="s">
        <v>224</v>
      </c>
      <c r="CH1" s="1" t="s">
        <v>225</v>
      </c>
      <c r="CI1" s="1" t="s">
        <v>226</v>
      </c>
      <c r="CJ1" s="1" t="s">
        <v>227</v>
      </c>
      <c r="CK1" s="1" t="s">
        <v>228</v>
      </c>
      <c r="CL1" s="1" t="s">
        <v>229</v>
      </c>
      <c r="CM1" s="1" t="s">
        <v>230</v>
      </c>
      <c r="CN1" s="151"/>
    </row>
    <row r="2" spans="1:92" s="352" customFormat="1" ht="17.25" thickBot="1">
      <c r="A2" s="351" t="s">
        <v>44</v>
      </c>
      <c r="B2" s="365" t="s">
        <v>79</v>
      </c>
      <c r="C2" s="365" t="s">
        <v>243</v>
      </c>
      <c r="D2" s="353" t="s">
        <v>45</v>
      </c>
      <c r="E2" s="352" t="s">
        <v>46</v>
      </c>
      <c r="F2" s="352" t="s">
        <v>47</v>
      </c>
      <c r="G2" s="352" t="s">
        <v>48</v>
      </c>
      <c r="H2" s="352" t="s">
        <v>49</v>
      </c>
      <c r="I2" s="352" t="s">
        <v>50</v>
      </c>
      <c r="J2" s="352" t="s">
        <v>51</v>
      </c>
      <c r="K2" s="352" t="s">
        <v>52</v>
      </c>
      <c r="L2" s="352" t="s">
        <v>57</v>
      </c>
      <c r="M2" s="352" t="s">
        <v>732</v>
      </c>
      <c r="N2" s="352" t="s">
        <v>731</v>
      </c>
      <c r="O2" s="352" t="s">
        <v>72</v>
      </c>
      <c r="P2" s="352" t="s">
        <v>74</v>
      </c>
      <c r="Q2" s="352" t="s">
        <v>81</v>
      </c>
      <c r="R2" s="352" t="s">
        <v>93</v>
      </c>
      <c r="S2" s="352" t="s">
        <v>95</v>
      </c>
      <c r="T2" s="352" t="s">
        <v>99</v>
      </c>
      <c r="U2" s="352" t="s">
        <v>476</v>
      </c>
      <c r="V2" s="352" t="s">
        <v>107</v>
      </c>
      <c r="W2" s="352" t="s">
        <v>112</v>
      </c>
      <c r="X2" s="352" t="s">
        <v>114</v>
      </c>
      <c r="Y2" s="352" t="s">
        <v>116</v>
      </c>
      <c r="Z2" s="352" t="s">
        <v>466</v>
      </c>
      <c r="AA2" s="352" t="s">
        <v>120</v>
      </c>
      <c r="AB2" s="352" t="s">
        <v>715</v>
      </c>
      <c r="AC2" s="352" t="s">
        <v>157</v>
      </c>
      <c r="AD2" s="352" t="s">
        <v>738</v>
      </c>
      <c r="AE2" s="352" t="s">
        <v>133</v>
      </c>
      <c r="AF2" s="352" t="s">
        <v>134</v>
      </c>
      <c r="AG2" s="352" t="s">
        <v>735</v>
      </c>
      <c r="AH2" s="352" t="s">
        <v>122</v>
      </c>
      <c r="AI2" s="352" t="s">
        <v>124</v>
      </c>
      <c r="AJ2" s="352" t="s">
        <v>127</v>
      </c>
      <c r="AK2" s="352" t="s">
        <v>129</v>
      </c>
      <c r="AL2" s="352" t="s">
        <v>131</v>
      </c>
      <c r="AM2" s="352" t="s">
        <v>847</v>
      </c>
      <c r="AN2" s="352" t="s">
        <v>851</v>
      </c>
      <c r="AO2" s="352" t="s">
        <v>876</v>
      </c>
      <c r="AP2" s="352" t="s">
        <v>882</v>
      </c>
      <c r="AQ2" s="354" t="s">
        <v>137</v>
      </c>
      <c r="AR2" s="355" t="s">
        <v>138</v>
      </c>
      <c r="AS2" s="355" t="s">
        <v>140</v>
      </c>
      <c r="AT2" s="355" t="s">
        <v>144</v>
      </c>
      <c r="AU2" s="355" t="s">
        <v>152</v>
      </c>
      <c r="AV2" s="355" t="s">
        <v>154</v>
      </c>
      <c r="AW2" s="355" t="s">
        <v>156</v>
      </c>
      <c r="AX2" s="355" t="s">
        <v>730</v>
      </c>
      <c r="AY2" s="355" t="s">
        <v>159</v>
      </c>
      <c r="AZ2" s="355" t="s">
        <v>162</v>
      </c>
      <c r="BA2" s="355" t="s">
        <v>163</v>
      </c>
      <c r="BB2" s="355" t="s">
        <v>164</v>
      </c>
      <c r="BC2" s="355" t="s">
        <v>165</v>
      </c>
      <c r="BD2" s="355" t="s">
        <v>168</v>
      </c>
      <c r="BE2" s="355" t="s">
        <v>171</v>
      </c>
      <c r="BF2" s="355" t="s">
        <v>172</v>
      </c>
      <c r="BG2" s="355" t="s">
        <v>174</v>
      </c>
      <c r="BH2" s="355" t="s">
        <v>175</v>
      </c>
      <c r="BI2" s="355" t="s">
        <v>176</v>
      </c>
      <c r="BJ2" s="355" t="s">
        <v>602</v>
      </c>
      <c r="BK2" s="355" t="s">
        <v>605</v>
      </c>
      <c r="BL2" s="355" t="s">
        <v>707</v>
      </c>
      <c r="BM2" s="356" t="s">
        <v>177</v>
      </c>
      <c r="BN2" s="355" t="s">
        <v>178</v>
      </c>
      <c r="BO2" s="355" t="s">
        <v>179</v>
      </c>
      <c r="BP2" s="355" t="s">
        <v>183</v>
      </c>
      <c r="BQ2" s="355" t="s">
        <v>186</v>
      </c>
      <c r="BR2" s="357" t="s">
        <v>187</v>
      </c>
      <c r="BS2" s="358" t="s">
        <v>194</v>
      </c>
      <c r="BT2" s="358" t="s">
        <v>196</v>
      </c>
      <c r="BU2" s="358" t="s">
        <v>197</v>
      </c>
      <c r="BV2" s="358" t="s">
        <v>201</v>
      </c>
      <c r="BW2" s="358" t="s">
        <v>205</v>
      </c>
      <c r="BX2" s="358" t="s">
        <v>206</v>
      </c>
      <c r="BY2" s="358" t="s">
        <v>600</v>
      </c>
      <c r="BZ2" s="358" t="s">
        <v>859</v>
      </c>
      <c r="CA2" s="359" t="s">
        <v>210</v>
      </c>
      <c r="CB2" s="360" t="s">
        <v>212</v>
      </c>
      <c r="CC2" s="361" t="s">
        <v>216</v>
      </c>
      <c r="CD2" s="362" t="s">
        <v>219</v>
      </c>
      <c r="CE2" s="353" t="s">
        <v>231</v>
      </c>
      <c r="CF2" s="352" t="s">
        <v>232</v>
      </c>
      <c r="CG2" s="352" t="s">
        <v>233</v>
      </c>
      <c r="CH2" s="352" t="s">
        <v>234</v>
      </c>
      <c r="CI2" s="352" t="s">
        <v>235</v>
      </c>
      <c r="CJ2" s="352" t="s">
        <v>236</v>
      </c>
      <c r="CK2" s="352" t="s">
        <v>237</v>
      </c>
      <c r="CL2" s="352" t="s">
        <v>238</v>
      </c>
      <c r="CM2" s="352" t="s">
        <v>239</v>
      </c>
      <c r="CN2" s="363"/>
    </row>
    <row r="3" spans="1:92" s="15" customFormat="1">
      <c r="A3" s="338" t="s">
        <v>241</v>
      </c>
      <c r="B3" s="366" t="s">
        <v>79</v>
      </c>
      <c r="C3" s="366" t="s">
        <v>253</v>
      </c>
      <c r="D3" s="24" t="s">
        <v>254</v>
      </c>
      <c r="E3" s="16" t="s">
        <v>255</v>
      </c>
      <c r="F3" s="16" t="s">
        <v>256</v>
      </c>
      <c r="G3" s="16" t="s">
        <v>257</v>
      </c>
      <c r="H3" s="16" t="s">
        <v>258</v>
      </c>
      <c r="I3" s="16" t="s">
        <v>259</v>
      </c>
      <c r="J3" s="16" t="s">
        <v>260</v>
      </c>
      <c r="K3" s="16" t="s">
        <v>261</v>
      </c>
      <c r="L3" s="16" t="s">
        <v>262</v>
      </c>
      <c r="M3" s="16" t="s">
        <v>734</v>
      </c>
      <c r="N3" s="16" t="s">
        <v>263</v>
      </c>
      <c r="O3" s="16" t="s">
        <v>264</v>
      </c>
      <c r="P3" s="16" t="s">
        <v>265</v>
      </c>
      <c r="Q3" s="16" t="s">
        <v>266</v>
      </c>
      <c r="R3" s="16" t="s">
        <v>267</v>
      </c>
      <c r="S3" s="16" t="s">
        <v>268</v>
      </c>
      <c r="T3" s="16" t="s">
        <v>269</v>
      </c>
      <c r="U3" s="16" t="s">
        <v>270</v>
      </c>
      <c r="V3" s="16" t="s">
        <v>271</v>
      </c>
      <c r="W3" s="16" t="s">
        <v>272</v>
      </c>
      <c r="X3" s="16" t="s">
        <v>273</v>
      </c>
      <c r="Y3" s="16" t="s">
        <v>274</v>
      </c>
      <c r="Z3" s="16" t="s">
        <v>275</v>
      </c>
      <c r="AA3" s="16" t="s">
        <v>276</v>
      </c>
      <c r="AB3" s="16" t="s">
        <v>699</v>
      </c>
      <c r="AC3" s="16" t="s">
        <v>291</v>
      </c>
      <c r="AD3" s="16" t="s">
        <v>737</v>
      </c>
      <c r="AE3" s="16" t="s">
        <v>282</v>
      </c>
      <c r="AF3" s="16" t="s">
        <v>283</v>
      </c>
      <c r="AG3" s="16" t="s">
        <v>736</v>
      </c>
      <c r="AH3" s="16" t="s">
        <v>277</v>
      </c>
      <c r="AI3" s="16" t="s">
        <v>278</v>
      </c>
      <c r="AJ3" s="16" t="s">
        <v>279</v>
      </c>
      <c r="AK3" s="16" t="s">
        <v>280</v>
      </c>
      <c r="AL3" s="16" t="s">
        <v>281</v>
      </c>
      <c r="AM3" s="16" t="s">
        <v>853</v>
      </c>
      <c r="AN3" s="16" t="s">
        <v>854</v>
      </c>
      <c r="AO3" s="16" t="s">
        <v>877</v>
      </c>
      <c r="AP3" s="16" t="s">
        <v>881</v>
      </c>
      <c r="AQ3" s="35" t="s">
        <v>284</v>
      </c>
      <c r="AR3" s="16" t="s">
        <v>285</v>
      </c>
      <c r="AS3" s="16" t="s">
        <v>286</v>
      </c>
      <c r="AT3" s="16" t="s">
        <v>287</v>
      </c>
      <c r="AU3" s="16" t="s">
        <v>288</v>
      </c>
      <c r="AV3" s="16" t="s">
        <v>289</v>
      </c>
      <c r="AW3" s="16" t="s">
        <v>290</v>
      </c>
      <c r="AX3" s="16" t="s">
        <v>291</v>
      </c>
      <c r="AY3" s="16" t="s">
        <v>292</v>
      </c>
      <c r="AZ3" s="16" t="s">
        <v>293</v>
      </c>
      <c r="BA3" s="16" t="s">
        <v>294</v>
      </c>
      <c r="BB3" s="16" t="s">
        <v>295</v>
      </c>
      <c r="BC3" s="16" t="s">
        <v>296</v>
      </c>
      <c r="BD3" s="16" t="s">
        <v>297</v>
      </c>
      <c r="BE3" s="16" t="s">
        <v>298</v>
      </c>
      <c r="BF3" s="16" t="s">
        <v>299</v>
      </c>
      <c r="BG3" s="16" t="s">
        <v>300</v>
      </c>
      <c r="BH3" s="16" t="s">
        <v>301</v>
      </c>
      <c r="BI3" s="16" t="s">
        <v>302</v>
      </c>
      <c r="BJ3" s="16" t="s">
        <v>603</v>
      </c>
      <c r="BK3" s="16" t="s">
        <v>606</v>
      </c>
      <c r="BL3" s="16" t="s">
        <v>708</v>
      </c>
      <c r="BM3" s="168" t="s">
        <v>303</v>
      </c>
      <c r="BN3" s="16" t="s">
        <v>304</v>
      </c>
      <c r="BO3" s="16" t="s">
        <v>305</v>
      </c>
      <c r="BP3" s="16" t="s">
        <v>306</v>
      </c>
      <c r="BQ3" s="16" t="s">
        <v>307</v>
      </c>
      <c r="BR3" s="45" t="s">
        <v>308</v>
      </c>
      <c r="BS3" s="16" t="s">
        <v>309</v>
      </c>
      <c r="BT3" s="16" t="s">
        <v>310</v>
      </c>
      <c r="BU3" s="16" t="s">
        <v>311</v>
      </c>
      <c r="BV3" s="16" t="s">
        <v>312</v>
      </c>
      <c r="BW3" s="16" t="s">
        <v>313</v>
      </c>
      <c r="BX3" s="16" t="s">
        <v>314</v>
      </c>
      <c r="BY3" s="16" t="s">
        <v>601</v>
      </c>
      <c r="BZ3" s="16" t="s">
        <v>261</v>
      </c>
      <c r="CA3" s="55" t="s">
        <v>316</v>
      </c>
      <c r="CB3" s="16" t="s">
        <v>315</v>
      </c>
      <c r="CC3" s="64" t="s">
        <v>317</v>
      </c>
      <c r="CD3" s="16" t="s">
        <v>318</v>
      </c>
      <c r="CE3" s="24" t="s">
        <v>319</v>
      </c>
      <c r="CF3" s="16" t="s">
        <v>320</v>
      </c>
      <c r="CG3" s="16" t="s">
        <v>298</v>
      </c>
      <c r="CH3" s="16" t="s">
        <v>321</v>
      </c>
      <c r="CI3" s="16" t="s">
        <v>322</v>
      </c>
      <c r="CJ3" s="16" t="s">
        <v>323</v>
      </c>
      <c r="CK3" s="16" t="s">
        <v>324</v>
      </c>
      <c r="CL3" s="16" t="s">
        <v>325</v>
      </c>
      <c r="CM3" s="16" t="s">
        <v>326</v>
      </c>
      <c r="CN3" s="153"/>
    </row>
    <row r="4" spans="1:92" s="14" customFormat="1">
      <c r="A4" s="337" t="s">
        <v>244</v>
      </c>
      <c r="B4" s="367" t="s">
        <v>79</v>
      </c>
      <c r="C4" s="367" t="s">
        <v>242</v>
      </c>
      <c r="D4" s="23" t="s">
        <v>250</v>
      </c>
      <c r="E4" s="14" t="s">
        <v>250</v>
      </c>
      <c r="F4" s="14" t="s">
        <v>249</v>
      </c>
      <c r="G4" s="14" t="s">
        <v>249</v>
      </c>
      <c r="H4" s="14" t="s">
        <v>249</v>
      </c>
      <c r="I4" s="14" t="s">
        <v>249</v>
      </c>
      <c r="J4" s="14" t="s">
        <v>249</v>
      </c>
      <c r="K4" s="14" t="s">
        <v>249</v>
      </c>
      <c r="L4" s="14" t="s">
        <v>249</v>
      </c>
      <c r="M4" s="14" t="s">
        <v>249</v>
      </c>
      <c r="N4" s="14" t="s">
        <v>249</v>
      </c>
      <c r="O4" s="14" t="s">
        <v>249</v>
      </c>
      <c r="P4" s="14" t="s">
        <v>249</v>
      </c>
      <c r="Q4" s="14" t="s">
        <v>249</v>
      </c>
      <c r="R4" s="14" t="s">
        <v>249</v>
      </c>
      <c r="S4" s="14" t="s">
        <v>249</v>
      </c>
      <c r="T4" s="14" t="s">
        <v>249</v>
      </c>
      <c r="U4" s="14" t="s">
        <v>249</v>
      </c>
      <c r="V4" s="14" t="s">
        <v>249</v>
      </c>
      <c r="W4" s="14" t="s">
        <v>250</v>
      </c>
      <c r="X4" s="14" t="s">
        <v>250</v>
      </c>
      <c r="Y4" s="14" t="s">
        <v>250</v>
      </c>
      <c r="Z4" s="14" t="s">
        <v>250</v>
      </c>
      <c r="AA4" s="14" t="s">
        <v>250</v>
      </c>
      <c r="AB4" s="14" t="s">
        <v>250</v>
      </c>
      <c r="AC4" s="14" t="s">
        <v>250</v>
      </c>
      <c r="AD4" s="14" t="s">
        <v>250</v>
      </c>
      <c r="AE4" s="14" t="s">
        <v>250</v>
      </c>
      <c r="AF4" s="14" t="s">
        <v>250</v>
      </c>
      <c r="AG4" s="14" t="s">
        <v>250</v>
      </c>
      <c r="AH4" s="14" t="s">
        <v>250</v>
      </c>
      <c r="AI4" s="14" t="s">
        <v>250</v>
      </c>
      <c r="AJ4" s="14" t="s">
        <v>250</v>
      </c>
      <c r="AK4" s="14" t="s">
        <v>250</v>
      </c>
      <c r="AL4" s="14" t="s">
        <v>250</v>
      </c>
      <c r="AM4" s="14" t="s">
        <v>250</v>
      </c>
      <c r="AN4" s="14" t="s">
        <v>250</v>
      </c>
      <c r="AO4" s="14" t="s">
        <v>250</v>
      </c>
      <c r="AP4" s="14" t="s">
        <v>250</v>
      </c>
      <c r="AQ4" s="34" t="s">
        <v>184</v>
      </c>
      <c r="AR4" s="6" t="s">
        <v>184</v>
      </c>
      <c r="AS4" s="6" t="s">
        <v>184</v>
      </c>
      <c r="AT4" s="6" t="s">
        <v>184</v>
      </c>
      <c r="AU4" s="6" t="s">
        <v>184</v>
      </c>
      <c r="AV4" s="6" t="s">
        <v>184</v>
      </c>
      <c r="AW4" s="6" t="s">
        <v>184</v>
      </c>
      <c r="AX4" s="6" t="s">
        <v>184</v>
      </c>
      <c r="AY4" s="6" t="s">
        <v>184</v>
      </c>
      <c r="AZ4" s="6" t="s">
        <v>184</v>
      </c>
      <c r="BA4" s="6" t="s">
        <v>184</v>
      </c>
      <c r="BB4" s="6" t="s">
        <v>184</v>
      </c>
      <c r="BC4" s="6" t="s">
        <v>184</v>
      </c>
      <c r="BD4" s="6" t="s">
        <v>184</v>
      </c>
      <c r="BE4" s="6" t="s">
        <v>184</v>
      </c>
      <c r="BF4" s="6" t="s">
        <v>184</v>
      </c>
      <c r="BG4" s="6" t="s">
        <v>184</v>
      </c>
      <c r="BH4" s="6" t="s">
        <v>184</v>
      </c>
      <c r="BI4" s="6" t="s">
        <v>184</v>
      </c>
      <c r="BJ4" s="6" t="s">
        <v>184</v>
      </c>
      <c r="BK4" s="6" t="s">
        <v>184</v>
      </c>
      <c r="BL4" s="6" t="s">
        <v>184</v>
      </c>
      <c r="BM4" s="167" t="s">
        <v>184</v>
      </c>
      <c r="BN4" s="6" t="s">
        <v>184</v>
      </c>
      <c r="BO4" s="6" t="s">
        <v>184</v>
      </c>
      <c r="BP4" s="6" t="s">
        <v>184</v>
      </c>
      <c r="BQ4" s="6" t="s">
        <v>184</v>
      </c>
      <c r="BR4" s="44" t="s">
        <v>150</v>
      </c>
      <c r="BS4" s="5" t="s">
        <v>150</v>
      </c>
      <c r="BT4" s="5" t="s">
        <v>150</v>
      </c>
      <c r="BU4" s="5" t="s">
        <v>150</v>
      </c>
      <c r="BV4" s="5" t="s">
        <v>150</v>
      </c>
      <c r="BW4" s="5" t="s">
        <v>150</v>
      </c>
      <c r="BX4" s="5" t="s">
        <v>150</v>
      </c>
      <c r="BY4" s="5" t="s">
        <v>150</v>
      </c>
      <c r="BZ4" s="5" t="s">
        <v>150</v>
      </c>
      <c r="CA4" s="54" t="s">
        <v>37</v>
      </c>
      <c r="CB4" s="10" t="s">
        <v>37</v>
      </c>
      <c r="CC4" s="63" t="s">
        <v>65</v>
      </c>
      <c r="CD4" s="4" t="s">
        <v>65</v>
      </c>
      <c r="CE4" s="23" t="s">
        <v>251</v>
      </c>
      <c r="CF4" s="14" t="s">
        <v>251</v>
      </c>
      <c r="CG4" s="14" t="s">
        <v>251</v>
      </c>
      <c r="CH4" s="14" t="s">
        <v>251</v>
      </c>
      <c r="CI4" s="14" t="s">
        <v>251</v>
      </c>
      <c r="CJ4" s="14" t="s">
        <v>251</v>
      </c>
      <c r="CK4" s="14" t="s">
        <v>251</v>
      </c>
      <c r="CL4" s="14" t="s">
        <v>251</v>
      </c>
      <c r="CM4" s="14" t="s">
        <v>251</v>
      </c>
      <c r="CN4" s="152"/>
    </row>
    <row r="5" spans="1:92" s="14" customFormat="1">
      <c r="A5" s="337" t="s">
        <v>245</v>
      </c>
      <c r="B5" s="367" t="s">
        <v>79</v>
      </c>
      <c r="C5" s="367" t="s">
        <v>242</v>
      </c>
      <c r="D5" s="23" t="s">
        <v>250</v>
      </c>
      <c r="E5" s="14" t="s">
        <v>250</v>
      </c>
      <c r="F5" s="14" t="s">
        <v>250</v>
      </c>
      <c r="G5" s="14" t="s">
        <v>250</v>
      </c>
      <c r="H5" s="14" t="s">
        <v>250</v>
      </c>
      <c r="I5" s="14" t="s">
        <v>250</v>
      </c>
      <c r="J5" s="14" t="s">
        <v>250</v>
      </c>
      <c r="K5" s="14" t="s">
        <v>250</v>
      </c>
      <c r="L5" s="14" t="s">
        <v>250</v>
      </c>
      <c r="M5" s="14" t="s">
        <v>250</v>
      </c>
      <c r="N5" s="14" t="s">
        <v>250</v>
      </c>
      <c r="O5" s="14" t="s">
        <v>250</v>
      </c>
      <c r="P5" s="14" t="s">
        <v>250</v>
      </c>
      <c r="Q5" s="14" t="s">
        <v>250</v>
      </c>
      <c r="R5" s="14" t="s">
        <v>250</v>
      </c>
      <c r="S5" s="14" t="s">
        <v>250</v>
      </c>
      <c r="T5" s="14" t="s">
        <v>250</v>
      </c>
      <c r="U5" s="14" t="s">
        <v>250</v>
      </c>
      <c r="V5" s="14" t="s">
        <v>250</v>
      </c>
      <c r="W5" s="14" t="s">
        <v>250</v>
      </c>
      <c r="X5" s="14" t="s">
        <v>250</v>
      </c>
      <c r="Y5" s="14" t="s">
        <v>250</v>
      </c>
      <c r="Z5" s="14" t="s">
        <v>250</v>
      </c>
      <c r="AA5" s="14" t="s">
        <v>250</v>
      </c>
      <c r="AB5" s="14" t="s">
        <v>250</v>
      </c>
      <c r="AC5" s="14" t="s">
        <v>250</v>
      </c>
      <c r="AD5" s="14" t="s">
        <v>250</v>
      </c>
      <c r="AE5" s="14" t="s">
        <v>250</v>
      </c>
      <c r="AF5" s="14" t="s">
        <v>250</v>
      </c>
      <c r="AG5" s="14" t="s">
        <v>250</v>
      </c>
      <c r="AH5" s="14" t="s">
        <v>250</v>
      </c>
      <c r="AI5" s="14" t="s">
        <v>250</v>
      </c>
      <c r="AJ5" s="14" t="s">
        <v>250</v>
      </c>
      <c r="AK5" s="14" t="s">
        <v>250</v>
      </c>
      <c r="AL5" s="14" t="s">
        <v>250</v>
      </c>
      <c r="AM5" s="14" t="s">
        <v>250</v>
      </c>
      <c r="AN5" s="14" t="s">
        <v>250</v>
      </c>
      <c r="AO5" s="14" t="s">
        <v>250</v>
      </c>
      <c r="AP5" s="14" t="s">
        <v>250</v>
      </c>
      <c r="AQ5" s="34" t="s">
        <v>184</v>
      </c>
      <c r="AR5" s="6" t="s">
        <v>184</v>
      </c>
      <c r="AS5" s="6" t="s">
        <v>184</v>
      </c>
      <c r="AT5" s="6" t="s">
        <v>184</v>
      </c>
      <c r="AU5" s="6" t="s">
        <v>184</v>
      </c>
      <c r="AV5" s="6" t="s">
        <v>184</v>
      </c>
      <c r="AW5" s="6" t="s">
        <v>184</v>
      </c>
      <c r="AX5" s="6" t="s">
        <v>184</v>
      </c>
      <c r="AY5" s="6" t="s">
        <v>184</v>
      </c>
      <c r="AZ5" s="6" t="s">
        <v>184</v>
      </c>
      <c r="BA5" s="6" t="s">
        <v>184</v>
      </c>
      <c r="BB5" s="6" t="s">
        <v>184</v>
      </c>
      <c r="BC5" s="6" t="s">
        <v>184</v>
      </c>
      <c r="BD5" s="6" t="s">
        <v>184</v>
      </c>
      <c r="BE5" s="6" t="s">
        <v>184</v>
      </c>
      <c r="BF5" s="6" t="s">
        <v>184</v>
      </c>
      <c r="BG5" s="6" t="s">
        <v>184</v>
      </c>
      <c r="BH5" s="6" t="s">
        <v>184</v>
      </c>
      <c r="BI5" s="6" t="s">
        <v>184</v>
      </c>
      <c r="BJ5" s="6" t="s">
        <v>184</v>
      </c>
      <c r="BK5" s="6" t="s">
        <v>184</v>
      </c>
      <c r="BL5" s="6" t="s">
        <v>184</v>
      </c>
      <c r="BM5" s="167" t="s">
        <v>184</v>
      </c>
      <c r="BN5" s="6" t="s">
        <v>184</v>
      </c>
      <c r="BO5" s="6" t="s">
        <v>184</v>
      </c>
      <c r="BP5" s="6" t="s">
        <v>184</v>
      </c>
      <c r="BQ5" s="6" t="s">
        <v>184</v>
      </c>
      <c r="BR5" s="44" t="s">
        <v>150</v>
      </c>
      <c r="BS5" s="5" t="s">
        <v>150</v>
      </c>
      <c r="BT5" s="5" t="s">
        <v>150</v>
      </c>
      <c r="BU5" s="5" t="s">
        <v>150</v>
      </c>
      <c r="BV5" s="5" t="s">
        <v>150</v>
      </c>
      <c r="BW5" s="5" t="s">
        <v>150</v>
      </c>
      <c r="BX5" s="5" t="s">
        <v>150</v>
      </c>
      <c r="BY5" s="5" t="s">
        <v>150</v>
      </c>
      <c r="BZ5" s="5" t="s">
        <v>150</v>
      </c>
      <c r="CA5" s="54" t="s">
        <v>37</v>
      </c>
      <c r="CB5" s="10" t="s">
        <v>37</v>
      </c>
      <c r="CC5" s="63" t="s">
        <v>65</v>
      </c>
      <c r="CD5" s="4" t="s">
        <v>65</v>
      </c>
      <c r="CE5" s="23" t="s">
        <v>251</v>
      </c>
      <c r="CF5" s="14" t="s">
        <v>251</v>
      </c>
      <c r="CG5" s="14" t="s">
        <v>251</v>
      </c>
      <c r="CH5" s="14" t="s">
        <v>251</v>
      </c>
      <c r="CI5" s="14" t="s">
        <v>251</v>
      </c>
      <c r="CJ5" s="14" t="s">
        <v>251</v>
      </c>
      <c r="CK5" s="14" t="s">
        <v>251</v>
      </c>
      <c r="CL5" s="14" t="s">
        <v>251</v>
      </c>
      <c r="CM5" s="14" t="s">
        <v>251</v>
      </c>
      <c r="CN5" s="152"/>
    </row>
    <row r="6" spans="1:92" s="14" customFormat="1">
      <c r="A6" s="337" t="s">
        <v>413</v>
      </c>
      <c r="B6" s="367" t="s">
        <v>79</v>
      </c>
      <c r="C6" s="367" t="s">
        <v>434</v>
      </c>
      <c r="D6" s="23" t="s">
        <v>435</v>
      </c>
      <c r="E6" s="14" t="s">
        <v>440</v>
      </c>
      <c r="F6" s="14" t="s">
        <v>436</v>
      </c>
      <c r="G6" s="14" t="s">
        <v>435</v>
      </c>
      <c r="H6" s="14" t="s">
        <v>437</v>
      </c>
      <c r="I6" s="14" t="s">
        <v>436</v>
      </c>
      <c r="J6" s="14" t="s">
        <v>435</v>
      </c>
      <c r="K6" s="14" t="s">
        <v>435</v>
      </c>
      <c r="L6" s="14" t="s">
        <v>435</v>
      </c>
      <c r="M6" s="14" t="s">
        <v>436</v>
      </c>
      <c r="N6" s="14" t="s">
        <v>436</v>
      </c>
      <c r="O6" s="14" t="s">
        <v>436</v>
      </c>
      <c r="P6" s="14" t="s">
        <v>436</v>
      </c>
      <c r="Q6" s="14" t="s">
        <v>438</v>
      </c>
      <c r="R6" s="14" t="s">
        <v>436</v>
      </c>
      <c r="S6" s="14" t="s">
        <v>436</v>
      </c>
      <c r="T6" s="14" t="s">
        <v>435</v>
      </c>
      <c r="U6" s="14" t="s">
        <v>436</v>
      </c>
      <c r="V6" s="14" t="s">
        <v>436</v>
      </c>
      <c r="W6" s="14" t="s">
        <v>438</v>
      </c>
      <c r="X6" s="14" t="s">
        <v>436</v>
      </c>
      <c r="Y6" s="14" t="s">
        <v>435</v>
      </c>
      <c r="Z6" s="14" t="s">
        <v>436</v>
      </c>
      <c r="AA6" s="14" t="s">
        <v>436</v>
      </c>
      <c r="AB6" s="14" t="s">
        <v>436</v>
      </c>
      <c r="AC6" s="14" t="s">
        <v>724</v>
      </c>
      <c r="AD6" s="14" t="s">
        <v>436</v>
      </c>
      <c r="AE6" s="14" t="s">
        <v>439</v>
      </c>
      <c r="AF6" s="14" t="s">
        <v>439</v>
      </c>
      <c r="AG6" s="14" t="s">
        <v>439</v>
      </c>
      <c r="AH6" s="14" t="s">
        <v>437</v>
      </c>
      <c r="AI6" s="14" t="s">
        <v>436</v>
      </c>
      <c r="AJ6" s="14" t="s">
        <v>437</v>
      </c>
      <c r="AK6" s="14" t="s">
        <v>436</v>
      </c>
      <c r="AL6" s="14" t="s">
        <v>436</v>
      </c>
      <c r="AM6" s="14" t="s">
        <v>438</v>
      </c>
      <c r="AN6" s="14" t="s">
        <v>438</v>
      </c>
      <c r="AO6" s="14" t="s">
        <v>439</v>
      </c>
      <c r="AP6" s="14" t="s">
        <v>436</v>
      </c>
      <c r="AQ6" s="34" t="s">
        <v>438</v>
      </c>
      <c r="AR6" s="6" t="s">
        <v>438</v>
      </c>
      <c r="AS6" s="6" t="s">
        <v>436</v>
      </c>
      <c r="AT6" s="6" t="s">
        <v>435</v>
      </c>
      <c r="AU6" s="6" t="s">
        <v>435</v>
      </c>
      <c r="AV6" s="6" t="s">
        <v>436</v>
      </c>
      <c r="AW6" s="6" t="s">
        <v>435</v>
      </c>
      <c r="AX6" s="6" t="s">
        <v>435</v>
      </c>
      <c r="AY6" s="6" t="s">
        <v>436</v>
      </c>
      <c r="AZ6" s="6" t="s">
        <v>438</v>
      </c>
      <c r="BA6" s="6" t="s">
        <v>436</v>
      </c>
      <c r="BB6" s="6" t="s">
        <v>438</v>
      </c>
      <c r="BC6" s="6" t="s">
        <v>435</v>
      </c>
      <c r="BD6" s="6" t="s">
        <v>436</v>
      </c>
      <c r="BE6" s="6" t="s">
        <v>438</v>
      </c>
      <c r="BF6" s="6" t="s">
        <v>437</v>
      </c>
      <c r="BG6" s="6" t="s">
        <v>435</v>
      </c>
      <c r="BH6" s="6" t="s">
        <v>438</v>
      </c>
      <c r="BI6" s="6" t="s">
        <v>438</v>
      </c>
      <c r="BJ6" s="6" t="s">
        <v>436</v>
      </c>
      <c r="BK6" s="6" t="s">
        <v>436</v>
      </c>
      <c r="BL6" s="6" t="s">
        <v>438</v>
      </c>
      <c r="BM6" s="167" t="s">
        <v>438</v>
      </c>
      <c r="BN6" s="6" t="s">
        <v>435</v>
      </c>
      <c r="BO6" s="6" t="s">
        <v>436</v>
      </c>
      <c r="BP6" s="6" t="s">
        <v>435</v>
      </c>
      <c r="BQ6" s="6" t="s">
        <v>439</v>
      </c>
      <c r="BR6" s="44" t="s">
        <v>435</v>
      </c>
      <c r="BS6" s="5" t="s">
        <v>435</v>
      </c>
      <c r="BT6" s="5" t="s">
        <v>436</v>
      </c>
      <c r="BU6" s="5" t="s">
        <v>436</v>
      </c>
      <c r="BV6" s="5" t="s">
        <v>436</v>
      </c>
      <c r="BW6" s="5" t="s">
        <v>435</v>
      </c>
      <c r="BX6" s="5" t="s">
        <v>435</v>
      </c>
      <c r="BY6" s="5" t="s">
        <v>436</v>
      </c>
      <c r="BZ6" s="5" t="s">
        <v>724</v>
      </c>
      <c r="CA6" s="54" t="s">
        <v>435</v>
      </c>
      <c r="CB6" s="10" t="s">
        <v>440</v>
      </c>
      <c r="CC6" s="63" t="s">
        <v>435</v>
      </c>
      <c r="CD6" s="4" t="s">
        <v>435</v>
      </c>
      <c r="CE6" s="23" t="s">
        <v>439</v>
      </c>
      <c r="CF6" s="14" t="s">
        <v>439</v>
      </c>
      <c r="CG6" s="14" t="s">
        <v>439</v>
      </c>
      <c r="CH6" s="14" t="s">
        <v>439</v>
      </c>
      <c r="CI6" s="14" t="s">
        <v>439</v>
      </c>
      <c r="CJ6" s="14" t="s">
        <v>439</v>
      </c>
      <c r="CK6" s="14" t="s">
        <v>439</v>
      </c>
      <c r="CL6" s="14" t="s">
        <v>439</v>
      </c>
      <c r="CM6" s="14" t="s">
        <v>439</v>
      </c>
      <c r="CN6" s="152"/>
    </row>
    <row r="7" spans="1:92" s="14" customFormat="1">
      <c r="A7" s="337" t="s">
        <v>414</v>
      </c>
      <c r="B7" s="367" t="s">
        <v>79</v>
      </c>
      <c r="C7" s="367" t="s">
        <v>418</v>
      </c>
      <c r="D7" s="23" t="s">
        <v>419</v>
      </c>
      <c r="E7" s="14" t="s">
        <v>420</v>
      </c>
      <c r="F7" s="14" t="s">
        <v>421</v>
      </c>
      <c r="G7" s="14" t="s">
        <v>422</v>
      </c>
      <c r="H7" s="14" t="s">
        <v>420</v>
      </c>
      <c r="I7" s="14" t="s">
        <v>423</v>
      </c>
      <c r="K7" s="14" t="s">
        <v>424</v>
      </c>
      <c r="L7" s="14" t="s">
        <v>432</v>
      </c>
      <c r="M7" s="14" t="s">
        <v>419</v>
      </c>
      <c r="N7" s="14" t="s">
        <v>425</v>
      </c>
      <c r="O7" s="14" t="s">
        <v>419</v>
      </c>
      <c r="P7" s="14" t="s">
        <v>426</v>
      </c>
      <c r="R7" s="14" t="s">
        <v>419</v>
      </c>
      <c r="S7" s="14" t="s">
        <v>424</v>
      </c>
      <c r="U7" s="14" t="s">
        <v>425</v>
      </c>
      <c r="V7" s="14" t="s">
        <v>421</v>
      </c>
      <c r="W7" s="14" t="s">
        <v>428</v>
      </c>
      <c r="X7" s="14" t="s">
        <v>463</v>
      </c>
      <c r="Y7" s="14" t="s">
        <v>666</v>
      </c>
      <c r="Z7" s="14" t="s">
        <v>420</v>
      </c>
      <c r="AA7" s="14" t="s">
        <v>425</v>
      </c>
      <c r="AC7" s="14" t="s">
        <v>725</v>
      </c>
      <c r="AD7" s="14" t="s">
        <v>424</v>
      </c>
      <c r="AH7" s="14" t="s">
        <v>425</v>
      </c>
      <c r="AI7" s="14" t="s">
        <v>426</v>
      </c>
      <c r="AJ7" s="14" t="s">
        <v>425</v>
      </c>
      <c r="AK7" s="14" t="s">
        <v>429</v>
      </c>
      <c r="AL7" s="14" t="s">
        <v>419</v>
      </c>
      <c r="AM7" s="14" t="s">
        <v>850</v>
      </c>
      <c r="AN7" s="14" t="s">
        <v>850</v>
      </c>
      <c r="AP7" s="14" t="s">
        <v>419</v>
      </c>
      <c r="AQ7" s="34"/>
      <c r="AR7" s="6" t="s">
        <v>425</v>
      </c>
      <c r="AS7" s="6" t="s">
        <v>427</v>
      </c>
      <c r="AT7" s="6" t="s">
        <v>429</v>
      </c>
      <c r="AU7" s="6" t="s">
        <v>427</v>
      </c>
      <c r="AV7" s="6" t="s">
        <v>422</v>
      </c>
      <c r="AW7" s="6"/>
      <c r="AX7" s="6" t="s">
        <v>419</v>
      </c>
      <c r="AY7" s="6" t="s">
        <v>666</v>
      </c>
      <c r="AZ7" s="6"/>
      <c r="BA7" s="6" t="s">
        <v>424</v>
      </c>
      <c r="BB7" s="6"/>
      <c r="BC7" s="6" t="s">
        <v>419</v>
      </c>
      <c r="BD7" s="6" t="s">
        <v>424</v>
      </c>
      <c r="BE7" s="6"/>
      <c r="BF7" s="6" t="s">
        <v>428</v>
      </c>
      <c r="BG7" s="6" t="s">
        <v>665</v>
      </c>
      <c r="BH7" s="6" t="s">
        <v>441</v>
      </c>
      <c r="BI7" s="6" t="s">
        <v>441</v>
      </c>
      <c r="BJ7" s="6" t="s">
        <v>427</v>
      </c>
      <c r="BK7" s="6" t="s">
        <v>427</v>
      </c>
      <c r="BL7" s="6"/>
      <c r="BM7" s="167"/>
      <c r="BN7" s="6" t="s">
        <v>426</v>
      </c>
      <c r="BO7" s="6" t="s">
        <v>429</v>
      </c>
      <c r="BP7" s="6" t="s">
        <v>666</v>
      </c>
      <c r="BQ7" s="6" t="s">
        <v>426</v>
      </c>
      <c r="BR7" s="44" t="s">
        <v>421</v>
      </c>
      <c r="BS7" s="5"/>
      <c r="BT7" s="5" t="s">
        <v>429</v>
      </c>
      <c r="BU7" s="5" t="s">
        <v>420</v>
      </c>
      <c r="BV7" s="5" t="s">
        <v>424</v>
      </c>
      <c r="BW7" s="5" t="s">
        <v>665</v>
      </c>
      <c r="BX7" s="5" t="s">
        <v>425</v>
      </c>
      <c r="BY7" s="5" t="s">
        <v>422</v>
      </c>
      <c r="BZ7" s="5" t="s">
        <v>860</v>
      </c>
      <c r="CA7" s="54" t="s">
        <v>421</v>
      </c>
      <c r="CB7" s="10" t="s">
        <v>422</v>
      </c>
      <c r="CC7" s="63" t="s">
        <v>422</v>
      </c>
      <c r="CD7" s="4" t="s">
        <v>421</v>
      </c>
      <c r="CE7" s="23" t="s">
        <v>459</v>
      </c>
      <c r="CF7" s="14" t="s">
        <v>459</v>
      </c>
      <c r="CG7" s="14" t="s">
        <v>459</v>
      </c>
      <c r="CH7" s="14" t="s">
        <v>459</v>
      </c>
      <c r="CI7" s="14" t="s">
        <v>459</v>
      </c>
      <c r="CJ7" s="14" t="s">
        <v>459</v>
      </c>
      <c r="CK7" s="14" t="s">
        <v>459</v>
      </c>
      <c r="CL7" s="14" t="s">
        <v>459</v>
      </c>
      <c r="CM7" s="14" t="s">
        <v>459</v>
      </c>
      <c r="CN7" s="152"/>
    </row>
    <row r="8" spans="1:92" s="14" customFormat="1">
      <c r="A8" s="337" t="s">
        <v>415</v>
      </c>
      <c r="B8" s="367" t="s">
        <v>79</v>
      </c>
      <c r="C8" s="367" t="s">
        <v>418</v>
      </c>
      <c r="D8" s="23"/>
      <c r="F8" s="14" t="s">
        <v>432</v>
      </c>
      <c r="N8" s="14" t="s">
        <v>424</v>
      </c>
      <c r="P8" s="14" t="s">
        <v>463</v>
      </c>
      <c r="U8" s="14" t="s">
        <v>427</v>
      </c>
      <c r="V8" s="14" t="s">
        <v>463</v>
      </c>
      <c r="AA8" s="14" t="s">
        <v>420</v>
      </c>
      <c r="AD8" s="14" t="s">
        <v>463</v>
      </c>
      <c r="AL8" s="14" t="s">
        <v>430</v>
      </c>
      <c r="AQ8" s="34"/>
      <c r="AR8" s="6" t="s">
        <v>424</v>
      </c>
      <c r="AS8" s="6"/>
      <c r="AT8" s="6"/>
      <c r="AU8" s="6"/>
      <c r="AV8" s="6" t="s">
        <v>424</v>
      </c>
      <c r="AW8" s="6"/>
      <c r="AX8" s="6"/>
      <c r="AY8" s="6"/>
      <c r="AZ8" s="6"/>
      <c r="BA8" s="6" t="s">
        <v>430</v>
      </c>
      <c r="BB8" s="6"/>
      <c r="BC8" s="6"/>
      <c r="BD8" s="6" t="s">
        <v>429</v>
      </c>
      <c r="BE8" s="6"/>
      <c r="BF8" s="6"/>
      <c r="BG8" s="6"/>
      <c r="BH8" s="6"/>
      <c r="BI8" s="6"/>
      <c r="BJ8" s="6" t="s">
        <v>425</v>
      </c>
      <c r="BK8" s="6" t="s">
        <v>463</v>
      </c>
      <c r="BL8" s="6"/>
      <c r="BM8" s="167"/>
      <c r="BN8" s="6" t="s">
        <v>430</v>
      </c>
      <c r="BO8" s="6" t="s">
        <v>666</v>
      </c>
      <c r="BP8" s="6"/>
      <c r="BQ8" s="6" t="s">
        <v>430</v>
      </c>
      <c r="BR8" s="44" t="s">
        <v>432</v>
      </c>
      <c r="BS8" s="5"/>
      <c r="BT8" s="5"/>
      <c r="BU8" s="5"/>
      <c r="BV8" s="5" t="s">
        <v>716</v>
      </c>
      <c r="BW8" s="5"/>
      <c r="BX8" s="5" t="s">
        <v>427</v>
      </c>
      <c r="BY8" s="5"/>
      <c r="BZ8" s="5"/>
      <c r="CA8" s="54" t="s">
        <v>431</v>
      </c>
      <c r="CB8" s="10"/>
      <c r="CC8" s="63"/>
      <c r="CD8" s="4" t="s">
        <v>432</v>
      </c>
      <c r="CE8" s="23"/>
      <c r="CN8" s="152"/>
    </row>
    <row r="9" spans="1:92" s="14" customFormat="1">
      <c r="A9" s="337" t="s">
        <v>416</v>
      </c>
      <c r="B9" s="367" t="s">
        <v>79</v>
      </c>
      <c r="C9" s="367" t="s">
        <v>418</v>
      </c>
      <c r="D9" s="23"/>
      <c r="AA9" s="14" t="s">
        <v>706</v>
      </c>
      <c r="AQ9" s="34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167"/>
      <c r="BN9" s="6"/>
      <c r="BO9" s="6"/>
      <c r="BP9" s="6"/>
      <c r="BQ9" s="6"/>
      <c r="BR9" s="44"/>
      <c r="BS9" s="5"/>
      <c r="BT9" s="5"/>
      <c r="BU9" s="5"/>
      <c r="BV9" s="5"/>
      <c r="BW9" s="5"/>
      <c r="BX9" s="5"/>
      <c r="BY9" s="5"/>
      <c r="BZ9" s="5"/>
      <c r="CA9" s="54"/>
      <c r="CB9" s="10"/>
      <c r="CC9" s="63"/>
      <c r="CD9" s="4" t="s">
        <v>429</v>
      </c>
      <c r="CE9" s="23"/>
      <c r="CN9" s="152"/>
    </row>
    <row r="10" spans="1:92" s="14" customFormat="1">
      <c r="A10" s="337" t="s">
        <v>417</v>
      </c>
      <c r="B10" s="367" t="s">
        <v>79</v>
      </c>
      <c r="C10" s="367" t="s">
        <v>418</v>
      </c>
      <c r="D10" s="23"/>
      <c r="AK10" s="19"/>
      <c r="AQ10" s="34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167"/>
      <c r="BN10" s="6"/>
      <c r="BO10" s="6"/>
      <c r="BP10" s="6"/>
      <c r="BQ10" s="6"/>
      <c r="BR10" s="44"/>
      <c r="BS10" s="5"/>
      <c r="BT10" s="5"/>
      <c r="BU10" s="5"/>
      <c r="BV10" s="5"/>
      <c r="BW10" s="5"/>
      <c r="BX10" s="5"/>
      <c r="BY10" s="5"/>
      <c r="BZ10" s="5"/>
      <c r="CA10" s="54"/>
      <c r="CB10" s="10"/>
      <c r="CC10" s="63"/>
      <c r="CD10" s="4"/>
      <c r="CE10" s="23"/>
      <c r="CN10" s="152"/>
    </row>
    <row r="11" spans="1:92" s="14" customFormat="1">
      <c r="A11" s="337" t="s">
        <v>442</v>
      </c>
      <c r="B11" s="367" t="s">
        <v>79</v>
      </c>
      <c r="C11" s="367" t="s">
        <v>248</v>
      </c>
      <c r="D11" s="23" t="s">
        <v>87</v>
      </c>
      <c r="E11" s="14" t="s">
        <v>454</v>
      </c>
      <c r="F11" s="14" t="s">
        <v>445</v>
      </c>
      <c r="G11" s="14" t="s">
        <v>450</v>
      </c>
      <c r="H11" s="14" t="s">
        <v>452</v>
      </c>
      <c r="I11" s="14" t="s">
        <v>445</v>
      </c>
      <c r="J11" s="14" t="s">
        <v>64</v>
      </c>
      <c r="K11" s="14" t="s">
        <v>86</v>
      </c>
      <c r="L11" s="14" t="s">
        <v>97</v>
      </c>
      <c r="M11" s="14" t="s">
        <v>445</v>
      </c>
      <c r="N11" s="14" t="s">
        <v>445</v>
      </c>
      <c r="O11" s="14" t="s">
        <v>445</v>
      </c>
      <c r="P11" s="14" t="s">
        <v>445</v>
      </c>
      <c r="Q11" s="14" t="s">
        <v>457</v>
      </c>
      <c r="R11" s="14" t="s">
        <v>445</v>
      </c>
      <c r="S11" s="14" t="s">
        <v>445</v>
      </c>
      <c r="T11" s="14" t="s">
        <v>96</v>
      </c>
      <c r="U11" s="14" t="s">
        <v>445</v>
      </c>
      <c r="V11" s="14" t="s">
        <v>445</v>
      </c>
      <c r="W11" s="14" t="s">
        <v>170</v>
      </c>
      <c r="X11" s="14" t="s">
        <v>445</v>
      </c>
      <c r="Y11" s="14" t="s">
        <v>105</v>
      </c>
      <c r="Z11" s="14" t="s">
        <v>445</v>
      </c>
      <c r="AA11" s="14" t="s">
        <v>445</v>
      </c>
      <c r="AB11" s="14" t="s">
        <v>445</v>
      </c>
      <c r="AC11" s="14" t="s">
        <v>726</v>
      </c>
      <c r="AD11" s="14" t="s">
        <v>445</v>
      </c>
      <c r="AE11" s="14" t="s">
        <v>445</v>
      </c>
      <c r="AF11" s="14" t="s">
        <v>445</v>
      </c>
      <c r="AG11" s="14" t="s">
        <v>445</v>
      </c>
      <c r="AH11" s="14" t="s">
        <v>467</v>
      </c>
      <c r="AI11" s="14" t="s">
        <v>445</v>
      </c>
      <c r="AJ11" s="14" t="s">
        <v>96</v>
      </c>
      <c r="AK11" s="19" t="s">
        <v>445</v>
      </c>
      <c r="AL11" s="14" t="s">
        <v>445</v>
      </c>
      <c r="AM11" s="14" t="s">
        <v>42</v>
      </c>
      <c r="AN11" s="14" t="s">
        <v>42</v>
      </c>
      <c r="AO11" s="14" t="s">
        <v>445</v>
      </c>
      <c r="AP11" s="14" t="s">
        <v>445</v>
      </c>
      <c r="AQ11" s="34" t="s">
        <v>96</v>
      </c>
      <c r="AR11" s="6" t="s">
        <v>445</v>
      </c>
      <c r="AS11" s="6" t="s">
        <v>445</v>
      </c>
      <c r="AT11" s="6" t="s">
        <v>609</v>
      </c>
      <c r="AU11" s="6" t="s">
        <v>42</v>
      </c>
      <c r="AV11" s="6" t="s">
        <v>445</v>
      </c>
      <c r="AW11" s="6" t="s">
        <v>42</v>
      </c>
      <c r="AX11" s="6" t="s">
        <v>38</v>
      </c>
      <c r="AY11" s="6" t="s">
        <v>445</v>
      </c>
      <c r="AZ11" s="6" t="s">
        <v>38</v>
      </c>
      <c r="BA11" s="6" t="s">
        <v>445</v>
      </c>
      <c r="BB11" s="6" t="s">
        <v>89</v>
      </c>
      <c r="BC11" s="6" t="s">
        <v>87</v>
      </c>
      <c r="BD11" s="6" t="s">
        <v>445</v>
      </c>
      <c r="BE11" s="6" t="s">
        <v>96</v>
      </c>
      <c r="BF11" s="6" t="s">
        <v>42</v>
      </c>
      <c r="BG11" s="6" t="s">
        <v>105</v>
      </c>
      <c r="BH11" s="6" t="s">
        <v>42</v>
      </c>
      <c r="BI11" s="6" t="s">
        <v>42</v>
      </c>
      <c r="BJ11" s="6" t="s">
        <v>445</v>
      </c>
      <c r="BK11" s="6" t="s">
        <v>445</v>
      </c>
      <c r="BL11" s="6" t="s">
        <v>96</v>
      </c>
      <c r="BM11" s="167" t="s">
        <v>89</v>
      </c>
      <c r="BN11" s="6" t="s">
        <v>96</v>
      </c>
      <c r="BO11" s="6" t="s">
        <v>445</v>
      </c>
      <c r="BP11" s="6" t="s">
        <v>96</v>
      </c>
      <c r="BQ11" s="6" t="s">
        <v>445</v>
      </c>
      <c r="BR11" s="44" t="s">
        <v>87</v>
      </c>
      <c r="BS11" s="5" t="s">
        <v>96</v>
      </c>
      <c r="BT11" s="5" t="s">
        <v>445</v>
      </c>
      <c r="BU11" s="5" t="s">
        <v>445</v>
      </c>
      <c r="BV11" s="5" t="s">
        <v>445</v>
      </c>
      <c r="BW11" s="5" t="s">
        <v>445</v>
      </c>
      <c r="BX11" s="5" t="s">
        <v>96</v>
      </c>
      <c r="BY11" s="5" t="s">
        <v>445</v>
      </c>
      <c r="BZ11" s="5" t="s">
        <v>861</v>
      </c>
      <c r="CA11" s="54" t="s">
        <v>457</v>
      </c>
      <c r="CB11" s="10" t="s">
        <v>38</v>
      </c>
      <c r="CC11" s="63" t="s">
        <v>96</v>
      </c>
      <c r="CD11" s="4" t="s">
        <v>445</v>
      </c>
      <c r="CE11" s="23" t="s">
        <v>445</v>
      </c>
      <c r="CF11" s="14" t="s">
        <v>445</v>
      </c>
      <c r="CG11" s="14" t="s">
        <v>445</v>
      </c>
      <c r="CH11" s="14" t="s">
        <v>445</v>
      </c>
      <c r="CI11" s="14" t="s">
        <v>445</v>
      </c>
      <c r="CJ11" s="14" t="s">
        <v>445</v>
      </c>
      <c r="CK11" s="14" t="s">
        <v>445</v>
      </c>
      <c r="CL11" s="14" t="s">
        <v>445</v>
      </c>
      <c r="CM11" s="14" t="s">
        <v>445</v>
      </c>
      <c r="CN11" s="152"/>
    </row>
    <row r="12" spans="1:92" s="14" customFormat="1">
      <c r="A12" s="337" t="s">
        <v>443</v>
      </c>
      <c r="B12" s="367" t="s">
        <v>79</v>
      </c>
      <c r="C12" s="367" t="s">
        <v>248</v>
      </c>
      <c r="D12" s="23" t="s">
        <v>71</v>
      </c>
      <c r="E12" s="14" t="s">
        <v>100</v>
      </c>
      <c r="F12" s="14" t="s">
        <v>445</v>
      </c>
      <c r="G12" s="14" t="s">
        <v>100</v>
      </c>
      <c r="H12" s="14" t="s">
        <v>100</v>
      </c>
      <c r="I12" s="14" t="s">
        <v>445</v>
      </c>
      <c r="J12" s="14" t="s">
        <v>445</v>
      </c>
      <c r="K12" s="14" t="s">
        <v>100</v>
      </c>
      <c r="L12" s="14" t="s">
        <v>100</v>
      </c>
      <c r="M12" s="14" t="s">
        <v>445</v>
      </c>
      <c r="N12" s="14" t="s">
        <v>445</v>
      </c>
      <c r="O12" s="14" t="s">
        <v>445</v>
      </c>
      <c r="P12" s="14" t="s">
        <v>445</v>
      </c>
      <c r="Q12" s="14" t="s">
        <v>86</v>
      </c>
      <c r="R12" s="14" t="s">
        <v>445</v>
      </c>
      <c r="S12" s="14" t="s">
        <v>445</v>
      </c>
      <c r="T12" s="14" t="s">
        <v>89</v>
      </c>
      <c r="U12" s="14" t="s">
        <v>445</v>
      </c>
      <c r="V12" s="14" t="s">
        <v>445</v>
      </c>
      <c r="W12" s="14" t="s">
        <v>170</v>
      </c>
      <c r="X12" s="14" t="s">
        <v>445</v>
      </c>
      <c r="Y12" s="14" t="s">
        <v>71</v>
      </c>
      <c r="Z12" s="14" t="s">
        <v>445</v>
      </c>
      <c r="AA12" s="14" t="s">
        <v>445</v>
      </c>
      <c r="AB12" s="14" t="s">
        <v>445</v>
      </c>
      <c r="AC12" s="14" t="s">
        <v>5</v>
      </c>
      <c r="AD12" s="14" t="s">
        <v>445</v>
      </c>
      <c r="AE12" s="14" t="s">
        <v>445</v>
      </c>
      <c r="AF12" s="14" t="s">
        <v>445</v>
      </c>
      <c r="AG12" s="14" t="s">
        <v>445</v>
      </c>
      <c r="AH12" s="14" t="s">
        <v>100</v>
      </c>
      <c r="AI12" s="14" t="s">
        <v>445</v>
      </c>
      <c r="AJ12" s="14" t="s">
        <v>105</v>
      </c>
      <c r="AK12" s="19" t="s">
        <v>445</v>
      </c>
      <c r="AL12" s="14" t="s">
        <v>445</v>
      </c>
      <c r="AM12" s="14" t="s">
        <v>42</v>
      </c>
      <c r="AN12" s="14" t="s">
        <v>42</v>
      </c>
      <c r="AO12" s="14" t="s">
        <v>445</v>
      </c>
      <c r="AP12" s="14" t="s">
        <v>445</v>
      </c>
      <c r="AQ12" s="34" t="s">
        <v>71</v>
      </c>
      <c r="AR12" s="6" t="s">
        <v>445</v>
      </c>
      <c r="AS12" s="6" t="s">
        <v>445</v>
      </c>
      <c r="AT12" s="6" t="s">
        <v>89</v>
      </c>
      <c r="AU12" s="6" t="s">
        <v>42</v>
      </c>
      <c r="AV12" s="6" t="s">
        <v>445</v>
      </c>
      <c r="AW12" s="6" t="s">
        <v>42</v>
      </c>
      <c r="AX12" s="6" t="s">
        <v>71</v>
      </c>
      <c r="AY12" s="6" t="s">
        <v>445</v>
      </c>
      <c r="AZ12" s="6" t="s">
        <v>71</v>
      </c>
      <c r="BA12" s="6" t="s">
        <v>445</v>
      </c>
      <c r="BB12" s="6" t="s">
        <v>620</v>
      </c>
      <c r="BC12" s="6" t="s">
        <v>105</v>
      </c>
      <c r="BD12" s="6" t="s">
        <v>445</v>
      </c>
      <c r="BE12" s="6" t="s">
        <v>71</v>
      </c>
      <c r="BF12" s="6" t="s">
        <v>42</v>
      </c>
      <c r="BG12" s="6" t="s">
        <v>105</v>
      </c>
      <c r="BH12" s="6" t="s">
        <v>42</v>
      </c>
      <c r="BI12" s="6" t="s">
        <v>42</v>
      </c>
      <c r="BJ12" s="6" t="s">
        <v>445</v>
      </c>
      <c r="BK12" s="6" t="s">
        <v>445</v>
      </c>
      <c r="BL12" s="6" t="s">
        <v>89</v>
      </c>
      <c r="BM12" s="167" t="s">
        <v>89</v>
      </c>
      <c r="BN12" s="6" t="s">
        <v>89</v>
      </c>
      <c r="BO12" s="6" t="s">
        <v>445</v>
      </c>
      <c r="BP12" s="6" t="s">
        <v>170</v>
      </c>
      <c r="BQ12" s="6" t="s">
        <v>445</v>
      </c>
      <c r="BR12" s="44" t="s">
        <v>42</v>
      </c>
      <c r="BS12" s="5" t="s">
        <v>105</v>
      </c>
      <c r="BT12" s="5" t="s">
        <v>445</v>
      </c>
      <c r="BU12" s="5" t="s">
        <v>445</v>
      </c>
      <c r="BV12" s="5" t="s">
        <v>445</v>
      </c>
      <c r="BW12" s="5" t="s">
        <v>445</v>
      </c>
      <c r="BX12" s="5" t="s">
        <v>667</v>
      </c>
      <c r="BY12" s="5" t="s">
        <v>445</v>
      </c>
      <c r="BZ12" s="5" t="s">
        <v>27</v>
      </c>
      <c r="CA12" s="54" t="s">
        <v>71</v>
      </c>
      <c r="CB12" s="10" t="s">
        <v>170</v>
      </c>
      <c r="CC12" s="63" t="s">
        <v>89</v>
      </c>
      <c r="CD12" s="4" t="s">
        <v>445</v>
      </c>
      <c r="CE12" s="23" t="s">
        <v>445</v>
      </c>
      <c r="CF12" s="14" t="s">
        <v>445</v>
      </c>
      <c r="CG12" s="14" t="s">
        <v>445</v>
      </c>
      <c r="CH12" s="14" t="s">
        <v>445</v>
      </c>
      <c r="CI12" s="14" t="s">
        <v>445</v>
      </c>
      <c r="CJ12" s="14" t="s">
        <v>445</v>
      </c>
      <c r="CK12" s="14" t="s">
        <v>445</v>
      </c>
      <c r="CL12" s="14" t="s">
        <v>445</v>
      </c>
      <c r="CM12" s="14" t="s">
        <v>445</v>
      </c>
      <c r="CN12" s="152"/>
    </row>
    <row r="13" spans="1:92" s="14" customFormat="1">
      <c r="A13" s="337" t="s">
        <v>444</v>
      </c>
      <c r="B13" s="367" t="s">
        <v>79</v>
      </c>
      <c r="C13" s="367" t="s">
        <v>242</v>
      </c>
      <c r="D13" s="23" t="s">
        <v>446</v>
      </c>
      <c r="E13" s="14" t="s">
        <v>455</v>
      </c>
      <c r="F13" s="14" t="s">
        <v>251</v>
      </c>
      <c r="G13" s="14" t="s">
        <v>446</v>
      </c>
      <c r="H13" s="14" t="s">
        <v>451</v>
      </c>
      <c r="I13" s="14" t="s">
        <v>251</v>
      </c>
      <c r="J13" s="14" t="s">
        <v>211</v>
      </c>
      <c r="K13" s="14" t="s">
        <v>456</v>
      </c>
      <c r="L13" s="14" t="s">
        <v>193</v>
      </c>
      <c r="M13" s="14" t="s">
        <v>251</v>
      </c>
      <c r="N13" s="14" t="s">
        <v>251</v>
      </c>
      <c r="O13" s="14" t="s">
        <v>251</v>
      </c>
      <c r="P13" s="14" t="s">
        <v>251</v>
      </c>
      <c r="Q13" s="14" t="s">
        <v>458</v>
      </c>
      <c r="R13" s="14" t="s">
        <v>251</v>
      </c>
      <c r="S13" s="14" t="s">
        <v>251</v>
      </c>
      <c r="T13" s="14" t="s">
        <v>455</v>
      </c>
      <c r="U13" s="14" t="s">
        <v>251</v>
      </c>
      <c r="V13" s="14" t="s">
        <v>251</v>
      </c>
      <c r="W13" s="14" t="s">
        <v>211</v>
      </c>
      <c r="X13" s="14" t="s">
        <v>251</v>
      </c>
      <c r="Y13" s="14" t="s">
        <v>189</v>
      </c>
      <c r="Z13" s="14" t="s">
        <v>251</v>
      </c>
      <c r="AA13" s="14" t="s">
        <v>251</v>
      </c>
      <c r="AB13" s="14" t="s">
        <v>251</v>
      </c>
      <c r="AC13" s="14" t="s">
        <v>617</v>
      </c>
      <c r="AD13" s="14" t="s">
        <v>251</v>
      </c>
      <c r="AE13" s="14" t="s">
        <v>251</v>
      </c>
      <c r="AF13" s="14" t="s">
        <v>251</v>
      </c>
      <c r="AG13" s="14" t="s">
        <v>251</v>
      </c>
      <c r="AH13" s="14" t="s">
        <v>211</v>
      </c>
      <c r="AI13" s="14" t="s">
        <v>251</v>
      </c>
      <c r="AJ13" s="14" t="s">
        <v>357</v>
      </c>
      <c r="AK13" s="19" t="s">
        <v>251</v>
      </c>
      <c r="AL13" s="14" t="s">
        <v>251</v>
      </c>
      <c r="AM13" s="14" t="s">
        <v>251</v>
      </c>
      <c r="AN13" s="14" t="s">
        <v>251</v>
      </c>
      <c r="AO13" s="14" t="s">
        <v>251</v>
      </c>
      <c r="AP13" s="14" t="s">
        <v>251</v>
      </c>
      <c r="AQ13" s="34" t="s">
        <v>453</v>
      </c>
      <c r="AR13" s="6" t="s">
        <v>477</v>
      </c>
      <c r="AS13" s="6" t="s">
        <v>251</v>
      </c>
      <c r="AT13" s="6" t="s">
        <v>446</v>
      </c>
      <c r="AU13" s="6" t="s">
        <v>150</v>
      </c>
      <c r="AV13" s="6" t="s">
        <v>251</v>
      </c>
      <c r="AW13" s="6" t="s">
        <v>251</v>
      </c>
      <c r="AX13" s="6" t="s">
        <v>446</v>
      </c>
      <c r="AY13" s="6" t="s">
        <v>251</v>
      </c>
      <c r="AZ13" s="6" t="s">
        <v>617</v>
      </c>
      <c r="BA13" s="6" t="s">
        <v>251</v>
      </c>
      <c r="BB13" s="6" t="s">
        <v>193</v>
      </c>
      <c r="BC13" s="6" t="s">
        <v>446</v>
      </c>
      <c r="BD13" s="6" t="s">
        <v>251</v>
      </c>
      <c r="BE13" s="6" t="s">
        <v>453</v>
      </c>
      <c r="BF13" s="6" t="s">
        <v>189</v>
      </c>
      <c r="BG13" s="6" t="s">
        <v>617</v>
      </c>
      <c r="BH13" s="6" t="s">
        <v>211</v>
      </c>
      <c r="BI13" s="6" t="s">
        <v>211</v>
      </c>
      <c r="BJ13" s="6" t="s">
        <v>251</v>
      </c>
      <c r="BK13" s="6" t="s">
        <v>251</v>
      </c>
      <c r="BL13" s="6" t="s">
        <v>357</v>
      </c>
      <c r="BM13" s="167" t="s">
        <v>617</v>
      </c>
      <c r="BN13" s="6" t="s">
        <v>211</v>
      </c>
      <c r="BO13" s="6" t="s">
        <v>251</v>
      </c>
      <c r="BP13" s="6" t="s">
        <v>647</v>
      </c>
      <c r="BQ13" s="6" t="s">
        <v>251</v>
      </c>
      <c r="BR13" s="44" t="s">
        <v>648</v>
      </c>
      <c r="BS13" s="5" t="s">
        <v>617</v>
      </c>
      <c r="BT13" s="5" t="s">
        <v>251</v>
      </c>
      <c r="BU13" s="5" t="s">
        <v>251</v>
      </c>
      <c r="BV13" s="5" t="s">
        <v>251</v>
      </c>
      <c r="BW13" s="5" t="s">
        <v>251</v>
      </c>
      <c r="BX13" s="5" t="s">
        <v>668</v>
      </c>
      <c r="BY13" s="5" t="s">
        <v>251</v>
      </c>
      <c r="BZ13" s="5" t="s">
        <v>862</v>
      </c>
      <c r="CA13" s="54" t="s">
        <v>647</v>
      </c>
      <c r="CB13" s="10" t="s">
        <v>669</v>
      </c>
      <c r="CC13" s="63" t="s">
        <v>670</v>
      </c>
      <c r="CD13" s="4" t="s">
        <v>671</v>
      </c>
      <c r="CE13" s="23" t="s">
        <v>251</v>
      </c>
      <c r="CF13" s="14" t="s">
        <v>251</v>
      </c>
      <c r="CG13" s="14" t="s">
        <v>251</v>
      </c>
      <c r="CH13" s="14" t="s">
        <v>251</v>
      </c>
      <c r="CI13" s="14" t="s">
        <v>251</v>
      </c>
      <c r="CJ13" s="14" t="s">
        <v>251</v>
      </c>
      <c r="CK13" s="14" t="s">
        <v>251</v>
      </c>
      <c r="CL13" s="14" t="s">
        <v>251</v>
      </c>
      <c r="CM13" s="14" t="s">
        <v>251</v>
      </c>
      <c r="CN13" s="152"/>
    </row>
    <row r="14" spans="1:92">
      <c r="A14" s="339" t="s">
        <v>1</v>
      </c>
      <c r="B14" s="366" t="s">
        <v>69</v>
      </c>
      <c r="C14" s="366" t="s">
        <v>248</v>
      </c>
      <c r="E14" s="2" t="s">
        <v>2</v>
      </c>
      <c r="Y14" s="2" t="s">
        <v>100</v>
      </c>
      <c r="AW14" s="2" t="s">
        <v>28</v>
      </c>
      <c r="BG14" s="2" t="s">
        <v>105</v>
      </c>
      <c r="BS14" s="2" t="s">
        <v>75</v>
      </c>
      <c r="CB14" s="2" t="s">
        <v>75</v>
      </c>
      <c r="CC14" s="65" t="s">
        <v>132</v>
      </c>
      <c r="CD14" s="2" t="s">
        <v>220</v>
      </c>
    </row>
    <row r="15" spans="1:92">
      <c r="A15" s="339" t="s">
        <v>3</v>
      </c>
      <c r="B15" s="366" t="s">
        <v>69</v>
      </c>
      <c r="C15" s="366" t="s">
        <v>248</v>
      </c>
      <c r="E15" s="2" t="s">
        <v>4</v>
      </c>
      <c r="F15" s="2" t="s">
        <v>5</v>
      </c>
      <c r="G15" s="2" t="s">
        <v>6</v>
      </c>
      <c r="H15" s="2" t="s">
        <v>28</v>
      </c>
      <c r="L15" s="2" t="s">
        <v>28</v>
      </c>
      <c r="Q15" s="2" t="s">
        <v>88</v>
      </c>
      <c r="T15" s="2" t="s">
        <v>28</v>
      </c>
      <c r="AT15" s="2" t="s">
        <v>100</v>
      </c>
      <c r="AU15" s="2" t="s">
        <v>75</v>
      </c>
      <c r="BG15" s="2" t="s">
        <v>132</v>
      </c>
      <c r="BK15" s="2" t="s">
        <v>100</v>
      </c>
      <c r="BN15" s="2" t="s">
        <v>28</v>
      </c>
      <c r="BP15" s="2" t="s">
        <v>28</v>
      </c>
      <c r="CA15" s="56" t="s">
        <v>28</v>
      </c>
      <c r="CB15" s="2" t="s">
        <v>100</v>
      </c>
    </row>
    <row r="16" spans="1:92">
      <c r="A16" s="339" t="s">
        <v>85</v>
      </c>
      <c r="B16" s="366" t="s">
        <v>69</v>
      </c>
      <c r="C16" s="366" t="s">
        <v>248</v>
      </c>
      <c r="Q16" s="2" t="s">
        <v>87</v>
      </c>
      <c r="T16" s="2" t="s">
        <v>105</v>
      </c>
      <c r="Y16" s="2" t="s">
        <v>96</v>
      </c>
      <c r="AI16" s="2" t="s">
        <v>105</v>
      </c>
      <c r="AJ16" s="2" t="s">
        <v>121</v>
      </c>
      <c r="AL16" s="2" t="s">
        <v>105</v>
      </c>
      <c r="AM16" s="2" t="s">
        <v>857</v>
      </c>
      <c r="AN16" s="2" t="s">
        <v>857</v>
      </c>
      <c r="AO16" s="2" t="s">
        <v>64</v>
      </c>
      <c r="AQ16" s="36" t="s">
        <v>89</v>
      </c>
      <c r="AT16" s="2" t="s">
        <v>147</v>
      </c>
      <c r="AV16" s="2" t="s">
        <v>89</v>
      </c>
      <c r="AY16" s="2" t="s">
        <v>89</v>
      </c>
      <c r="AZ16" s="2" t="s">
        <v>38</v>
      </c>
      <c r="BA16" s="2" t="s">
        <v>89</v>
      </c>
      <c r="BB16" s="2" t="s">
        <v>42</v>
      </c>
      <c r="BC16" s="2" t="s">
        <v>100</v>
      </c>
      <c r="BD16" s="2" t="s">
        <v>170</v>
      </c>
      <c r="BE16" s="2" t="s">
        <v>105</v>
      </c>
      <c r="BL16" s="2" t="s">
        <v>97</v>
      </c>
      <c r="BM16" s="169" t="s">
        <v>170</v>
      </c>
      <c r="BN16" s="2" t="s">
        <v>89</v>
      </c>
      <c r="BO16" s="2" t="s">
        <v>170</v>
      </c>
      <c r="BP16" s="2" t="s">
        <v>185</v>
      </c>
      <c r="BQ16" s="2" t="s">
        <v>42</v>
      </c>
      <c r="BS16" s="2" t="s">
        <v>195</v>
      </c>
      <c r="BU16" s="2" t="s">
        <v>71</v>
      </c>
      <c r="BZ16" s="2" t="s">
        <v>105</v>
      </c>
      <c r="CA16" s="56" t="s">
        <v>170</v>
      </c>
    </row>
    <row r="17" spans="1:82">
      <c r="A17" s="339" t="s">
        <v>7</v>
      </c>
      <c r="B17" s="366" t="s">
        <v>69</v>
      </c>
      <c r="C17" s="366" t="s">
        <v>248</v>
      </c>
      <c r="E17" s="2" t="s">
        <v>8</v>
      </c>
      <c r="G17" s="2" t="s">
        <v>9</v>
      </c>
      <c r="H17" s="2" t="s">
        <v>34</v>
      </c>
      <c r="J17" s="2" t="s">
        <v>39</v>
      </c>
      <c r="K17" s="2" t="s">
        <v>53</v>
      </c>
      <c r="L17" s="2" t="s">
        <v>61</v>
      </c>
      <c r="T17" s="2" t="s">
        <v>104</v>
      </c>
      <c r="AH17" s="2" t="s">
        <v>53</v>
      </c>
      <c r="AJ17" s="2" t="s">
        <v>39</v>
      </c>
      <c r="AT17" s="2" t="s">
        <v>149</v>
      </c>
      <c r="AU17" s="2" t="s">
        <v>34</v>
      </c>
      <c r="AW17" s="2" t="s">
        <v>39</v>
      </c>
      <c r="BC17" s="2" t="s">
        <v>106</v>
      </c>
      <c r="BJ17" s="2" t="s">
        <v>149</v>
      </c>
      <c r="BN17" s="2" t="s">
        <v>104</v>
      </c>
      <c r="BP17" s="2" t="s">
        <v>104</v>
      </c>
      <c r="BR17" s="46" t="s">
        <v>192</v>
      </c>
      <c r="BS17" s="2" t="s">
        <v>104</v>
      </c>
      <c r="BT17" s="2" t="s">
        <v>104</v>
      </c>
      <c r="BX17" s="2" t="s">
        <v>148</v>
      </c>
      <c r="BY17" s="2" t="s">
        <v>700</v>
      </c>
      <c r="BZ17" s="2" t="s">
        <v>863</v>
      </c>
      <c r="CA17" s="56" t="s">
        <v>130</v>
      </c>
      <c r="CB17" s="2" t="s">
        <v>104</v>
      </c>
      <c r="CC17" s="65" t="s">
        <v>104</v>
      </c>
      <c r="CD17" s="2" t="s">
        <v>143</v>
      </c>
    </row>
    <row r="18" spans="1:82">
      <c r="A18" s="339" t="s">
        <v>35</v>
      </c>
      <c r="B18" s="366" t="s">
        <v>69</v>
      </c>
      <c r="C18" s="366" t="s">
        <v>248</v>
      </c>
      <c r="H18" s="2" t="s">
        <v>34</v>
      </c>
      <c r="V18" s="2" t="s">
        <v>110</v>
      </c>
      <c r="Z18" s="2" t="s">
        <v>119</v>
      </c>
      <c r="AH18" s="2" t="s">
        <v>117</v>
      </c>
      <c r="AJ18" s="2" t="s">
        <v>53</v>
      </c>
      <c r="AT18" s="2" t="s">
        <v>148</v>
      </c>
      <c r="CB18" s="2" t="s">
        <v>123</v>
      </c>
    </row>
    <row r="19" spans="1:82">
      <c r="A19" s="339" t="s">
        <v>10</v>
      </c>
      <c r="B19" s="366" t="s">
        <v>69</v>
      </c>
      <c r="C19" s="366" t="s">
        <v>248</v>
      </c>
      <c r="D19" s="25">
        <v>0.15</v>
      </c>
      <c r="F19" s="2" t="s">
        <v>2</v>
      </c>
      <c r="G19" s="2" t="s">
        <v>11</v>
      </c>
      <c r="H19" s="2" t="s">
        <v>33</v>
      </c>
      <c r="L19" s="2" t="s">
        <v>33</v>
      </c>
      <c r="P19" s="2" t="s">
        <v>75</v>
      </c>
      <c r="T19" s="2" t="s">
        <v>33</v>
      </c>
      <c r="U19" s="2" t="s">
        <v>75</v>
      </c>
      <c r="V19" s="2" t="s">
        <v>75</v>
      </c>
      <c r="X19" s="2" t="s">
        <v>75</v>
      </c>
      <c r="AC19" s="2" t="s">
        <v>11</v>
      </c>
      <c r="AH19" s="2" t="s">
        <v>33</v>
      </c>
      <c r="AI19" s="2" t="s">
        <v>75</v>
      </c>
      <c r="AK19" s="2" t="s">
        <v>75</v>
      </c>
      <c r="AP19" s="2" t="s">
        <v>75</v>
      </c>
      <c r="AS19" s="2" t="s">
        <v>75</v>
      </c>
      <c r="AT19" s="2" t="s">
        <v>75</v>
      </c>
      <c r="AU19" s="2" t="s">
        <v>33</v>
      </c>
      <c r="AX19" s="2" t="s">
        <v>33</v>
      </c>
      <c r="BJ19" s="2" t="s">
        <v>75</v>
      </c>
      <c r="BK19" s="2" t="s">
        <v>100</v>
      </c>
      <c r="BN19" s="2" t="s">
        <v>33</v>
      </c>
      <c r="BO19" s="2" t="s">
        <v>75</v>
      </c>
      <c r="BP19" s="2" t="s">
        <v>33</v>
      </c>
      <c r="BR19" s="46" t="s">
        <v>33</v>
      </c>
      <c r="BS19" s="2" t="s">
        <v>33</v>
      </c>
      <c r="BU19" s="2" t="s">
        <v>75</v>
      </c>
      <c r="BV19" s="2" t="s">
        <v>75</v>
      </c>
      <c r="BY19" s="2" t="s">
        <v>75</v>
      </c>
      <c r="CA19" s="56" t="s">
        <v>33</v>
      </c>
      <c r="CD19" s="2" t="s">
        <v>28</v>
      </c>
    </row>
    <row r="20" spans="1:82">
      <c r="A20" s="339" t="s">
        <v>80</v>
      </c>
      <c r="B20" s="366" t="s">
        <v>69</v>
      </c>
      <c r="C20" s="366" t="s">
        <v>248</v>
      </c>
      <c r="Q20" s="2" t="s">
        <v>83</v>
      </c>
      <c r="W20" s="2" t="s">
        <v>113</v>
      </c>
      <c r="AR20" s="2" t="s">
        <v>139</v>
      </c>
      <c r="BY20" s="2" t="s">
        <v>56</v>
      </c>
    </row>
    <row r="21" spans="1:82">
      <c r="A21" s="339" t="s">
        <v>91</v>
      </c>
      <c r="B21" s="366" t="s">
        <v>69</v>
      </c>
      <c r="C21" s="366" t="s">
        <v>248</v>
      </c>
      <c r="D21" s="25" t="s">
        <v>12</v>
      </c>
      <c r="G21" s="2" t="s">
        <v>13</v>
      </c>
      <c r="L21" s="2" t="s">
        <v>59</v>
      </c>
      <c r="T21" s="2" t="s">
        <v>102</v>
      </c>
      <c r="V21" s="2" t="s">
        <v>102</v>
      </c>
      <c r="AC21" s="2" t="s">
        <v>12</v>
      </c>
      <c r="AT21" s="2" t="s">
        <v>146</v>
      </c>
      <c r="AU21" s="2" t="s">
        <v>102</v>
      </c>
      <c r="AX21" s="2" t="s">
        <v>158</v>
      </c>
      <c r="BN21" s="2" t="s">
        <v>102</v>
      </c>
      <c r="BP21" s="2" t="s">
        <v>56</v>
      </c>
      <c r="BR21" s="46" t="s">
        <v>56</v>
      </c>
      <c r="BX21" s="2" t="s">
        <v>56</v>
      </c>
      <c r="CA21" s="56" t="s">
        <v>56</v>
      </c>
      <c r="CD21" s="2" t="s">
        <v>221</v>
      </c>
    </row>
    <row r="22" spans="1:82">
      <c r="A22" s="339" t="s">
        <v>92</v>
      </c>
      <c r="B22" s="366" t="s">
        <v>69</v>
      </c>
      <c r="C22" s="366" t="s">
        <v>248</v>
      </c>
      <c r="G22" s="2" t="s">
        <v>14</v>
      </c>
      <c r="K22" s="2" t="s">
        <v>56</v>
      </c>
      <c r="Y22" s="2" t="s">
        <v>117</v>
      </c>
      <c r="BC22" s="2" t="s">
        <v>166</v>
      </c>
      <c r="BG22" s="2" t="s">
        <v>117</v>
      </c>
      <c r="BQ22" s="2" t="s">
        <v>139</v>
      </c>
      <c r="BS22" s="2" t="s">
        <v>139</v>
      </c>
      <c r="BZ22" s="2" t="s">
        <v>13</v>
      </c>
      <c r="CA22" s="56" t="s">
        <v>53</v>
      </c>
      <c r="CB22" s="2" t="s">
        <v>139</v>
      </c>
      <c r="CC22" s="65" t="s">
        <v>218</v>
      </c>
    </row>
    <row r="23" spans="1:82">
      <c r="A23" s="339" t="s">
        <v>84</v>
      </c>
      <c r="B23" s="366" t="s">
        <v>69</v>
      </c>
      <c r="C23" s="366" t="s">
        <v>248</v>
      </c>
      <c r="Q23" s="2" t="s">
        <v>86</v>
      </c>
      <c r="AR23" s="2" t="s">
        <v>86</v>
      </c>
    </row>
    <row r="24" spans="1:82">
      <c r="A24" s="339" t="s">
        <v>15</v>
      </c>
      <c r="B24" s="366" t="s">
        <v>69</v>
      </c>
      <c r="C24" s="366" t="s">
        <v>248</v>
      </c>
      <c r="F24" s="2" t="s">
        <v>16</v>
      </c>
      <c r="G24" s="2" t="s">
        <v>17</v>
      </c>
      <c r="L24" s="2" t="s">
        <v>59</v>
      </c>
      <c r="P24" s="2" t="s">
        <v>76</v>
      </c>
      <c r="T24" s="2" t="s">
        <v>101</v>
      </c>
      <c r="U24" s="2" t="s">
        <v>76</v>
      </c>
      <c r="V24" s="2" t="s">
        <v>76</v>
      </c>
      <c r="X24" s="2" t="s">
        <v>76</v>
      </c>
      <c r="AB24" s="2" t="s">
        <v>705</v>
      </c>
      <c r="AI24" s="2" t="s">
        <v>76</v>
      </c>
      <c r="AK24" s="2" t="s">
        <v>76</v>
      </c>
      <c r="AS24" s="2" t="s">
        <v>76</v>
      </c>
      <c r="AU24" s="2" t="s">
        <v>153</v>
      </c>
      <c r="BJ24" s="2" t="s">
        <v>76</v>
      </c>
      <c r="BK24" s="2" t="s">
        <v>76</v>
      </c>
      <c r="BN24" s="2" t="s">
        <v>101</v>
      </c>
      <c r="BO24" s="2" t="s">
        <v>76</v>
      </c>
      <c r="BP24" s="2" t="s">
        <v>59</v>
      </c>
      <c r="BR24" s="46" t="s">
        <v>59</v>
      </c>
      <c r="BU24" s="2" t="s">
        <v>76</v>
      </c>
      <c r="BV24" s="2" t="s">
        <v>76</v>
      </c>
      <c r="BX24" s="2" t="s">
        <v>76</v>
      </c>
      <c r="BY24" s="2" t="s">
        <v>56</v>
      </c>
      <c r="CA24" s="56" t="s">
        <v>59</v>
      </c>
      <c r="CD24" s="2" t="s">
        <v>153</v>
      </c>
    </row>
    <row r="25" spans="1:82">
      <c r="A25" s="339" t="s">
        <v>18</v>
      </c>
      <c r="B25" s="366" t="s">
        <v>69</v>
      </c>
      <c r="C25" s="366" t="s">
        <v>248</v>
      </c>
      <c r="F25" s="2" t="s">
        <v>19</v>
      </c>
      <c r="G25" s="2" t="s">
        <v>20</v>
      </c>
      <c r="L25" s="2" t="s">
        <v>60</v>
      </c>
      <c r="P25" s="2" t="s">
        <v>78</v>
      </c>
      <c r="T25" s="2" t="s">
        <v>103</v>
      </c>
      <c r="U25" s="2" t="s">
        <v>78</v>
      </c>
      <c r="V25" s="2" t="s">
        <v>109</v>
      </c>
      <c r="X25" s="2" t="s">
        <v>78</v>
      </c>
      <c r="AB25" s="2" t="s">
        <v>704</v>
      </c>
      <c r="AH25" s="2" t="s">
        <v>123</v>
      </c>
      <c r="AI25" s="2" t="s">
        <v>126</v>
      </c>
      <c r="AJ25" s="2" t="s">
        <v>128</v>
      </c>
      <c r="AK25" s="2" t="s">
        <v>130</v>
      </c>
      <c r="AS25" s="2" t="s">
        <v>143</v>
      </c>
      <c r="AU25" s="2" t="s">
        <v>143</v>
      </c>
      <c r="BF25" s="2" t="s">
        <v>173</v>
      </c>
      <c r="BJ25" s="2" t="s">
        <v>608</v>
      </c>
      <c r="BK25" s="2" t="s">
        <v>130</v>
      </c>
      <c r="BN25" s="2" t="s">
        <v>103</v>
      </c>
      <c r="BO25" s="2" t="s">
        <v>180</v>
      </c>
      <c r="BR25" s="46" t="s">
        <v>191</v>
      </c>
      <c r="BU25" s="2" t="s">
        <v>143</v>
      </c>
      <c r="BV25" s="2" t="s">
        <v>202</v>
      </c>
      <c r="BX25" s="2" t="s">
        <v>207</v>
      </c>
      <c r="CA25" s="56" t="s">
        <v>199</v>
      </c>
      <c r="CB25" s="2" t="s">
        <v>123</v>
      </c>
      <c r="CD25" s="2" t="s">
        <v>203</v>
      </c>
    </row>
    <row r="26" spans="1:82">
      <c r="A26" s="339" t="s">
        <v>32</v>
      </c>
      <c r="B26" s="366" t="s">
        <v>69</v>
      </c>
      <c r="C26" s="366" t="s">
        <v>248</v>
      </c>
      <c r="H26" s="2" t="s">
        <v>33</v>
      </c>
      <c r="Q26" s="2" t="s">
        <v>75</v>
      </c>
      <c r="Z26" s="2" t="s">
        <v>33</v>
      </c>
      <c r="AR26" s="2" t="s">
        <v>75</v>
      </c>
      <c r="AU26" s="2" t="s">
        <v>33</v>
      </c>
      <c r="BQ26" s="2" t="s">
        <v>100</v>
      </c>
      <c r="BR26" s="46" t="s">
        <v>188</v>
      </c>
      <c r="BS26" s="2" t="s">
        <v>100</v>
      </c>
      <c r="BT26" s="2" t="s">
        <v>75</v>
      </c>
      <c r="CA26" s="56" t="s">
        <v>188</v>
      </c>
      <c r="CC26" s="65" t="s">
        <v>28</v>
      </c>
      <c r="CD26" s="2" t="s">
        <v>188</v>
      </c>
    </row>
    <row r="27" spans="1:82">
      <c r="A27" s="339" t="s">
        <v>63</v>
      </c>
      <c r="B27" s="366" t="s">
        <v>69</v>
      </c>
      <c r="C27" s="366" t="s">
        <v>248</v>
      </c>
      <c r="L27" s="2" t="s">
        <v>64</v>
      </c>
      <c r="BY27" s="2" t="s">
        <v>110</v>
      </c>
      <c r="CD27" s="2" t="s">
        <v>64</v>
      </c>
    </row>
    <row r="28" spans="1:82">
      <c r="A28" s="339" t="s">
        <v>151</v>
      </c>
      <c r="B28" s="366" t="s">
        <v>69</v>
      </c>
      <c r="C28" s="366" t="s">
        <v>242</v>
      </c>
      <c r="AU28" s="2" t="s">
        <v>150</v>
      </c>
    </row>
    <row r="29" spans="1:82">
      <c r="A29" s="339" t="s">
        <v>62</v>
      </c>
      <c r="B29" s="366" t="s">
        <v>69</v>
      </c>
      <c r="C29" s="366" t="s">
        <v>242</v>
      </c>
      <c r="L29" s="2" t="s">
        <v>65</v>
      </c>
      <c r="Q29" s="2" t="s">
        <v>82</v>
      </c>
      <c r="AR29" s="2" t="s">
        <v>82</v>
      </c>
      <c r="AS29" s="2" t="s">
        <v>37</v>
      </c>
      <c r="AU29" s="2" t="s">
        <v>150</v>
      </c>
      <c r="AV29" s="2" t="s">
        <v>150</v>
      </c>
      <c r="BP29" s="2" t="s">
        <v>250</v>
      </c>
      <c r="BQ29" s="2" t="s">
        <v>82</v>
      </c>
      <c r="BR29" s="46" t="s">
        <v>189</v>
      </c>
      <c r="BS29" s="2" t="s">
        <v>189</v>
      </c>
      <c r="BY29" s="2" t="s">
        <v>150</v>
      </c>
      <c r="CA29" s="56" t="s">
        <v>211</v>
      </c>
      <c r="CC29" s="65" t="s">
        <v>193</v>
      </c>
      <c r="CD29" s="2" t="s">
        <v>37</v>
      </c>
    </row>
    <row r="30" spans="1:82">
      <c r="A30" s="339" t="s">
        <v>36</v>
      </c>
      <c r="B30" s="366" t="s">
        <v>69</v>
      </c>
      <c r="C30" s="366" t="s">
        <v>242</v>
      </c>
      <c r="H30" s="2" t="s">
        <v>37</v>
      </c>
      <c r="Z30" s="2" t="s">
        <v>37</v>
      </c>
      <c r="BJ30" s="2" t="s">
        <v>150</v>
      </c>
    </row>
    <row r="31" spans="1:82">
      <c r="A31" s="339" t="s">
        <v>21</v>
      </c>
      <c r="B31" s="366" t="s">
        <v>69</v>
      </c>
      <c r="C31" s="366" t="s">
        <v>248</v>
      </c>
      <c r="D31" s="25" t="s">
        <v>2</v>
      </c>
      <c r="AC31" s="2" t="s">
        <v>27</v>
      </c>
      <c r="AX31" s="2" t="s">
        <v>100</v>
      </c>
      <c r="BK31" s="2" t="s">
        <v>75</v>
      </c>
    </row>
    <row r="32" spans="1:82">
      <c r="A32" s="339" t="s">
        <v>22</v>
      </c>
      <c r="B32" s="366" t="s">
        <v>69</v>
      </c>
      <c r="C32" s="366" t="s">
        <v>248</v>
      </c>
      <c r="D32" s="25" t="s">
        <v>23</v>
      </c>
      <c r="AC32" s="2" t="s">
        <v>727</v>
      </c>
      <c r="AX32" s="2" t="s">
        <v>130</v>
      </c>
      <c r="BK32" s="2" t="s">
        <v>100</v>
      </c>
    </row>
    <row r="33" spans="1:92">
      <c r="A33" s="339" t="s">
        <v>24</v>
      </c>
      <c r="B33" s="366" t="s">
        <v>69</v>
      </c>
      <c r="C33" s="366" t="s">
        <v>248</v>
      </c>
      <c r="D33" s="25" t="s">
        <v>25</v>
      </c>
    </row>
    <row r="34" spans="1:92">
      <c r="A34" s="339" t="s">
        <v>26</v>
      </c>
      <c r="B34" s="366" t="s">
        <v>69</v>
      </c>
      <c r="C34" s="366" t="s">
        <v>248</v>
      </c>
      <c r="D34" s="25" t="s">
        <v>27</v>
      </c>
    </row>
    <row r="35" spans="1:92" s="108" customFormat="1">
      <c r="A35" s="340" t="s">
        <v>478</v>
      </c>
      <c r="B35" s="368" t="s">
        <v>69</v>
      </c>
      <c r="C35" s="368" t="s">
        <v>252</v>
      </c>
      <c r="D35" s="145"/>
      <c r="Y35" s="146" t="s">
        <v>479</v>
      </c>
      <c r="AQ35" s="147"/>
      <c r="AY35" s="108" t="s">
        <v>503</v>
      </c>
      <c r="BG35" s="108" t="s">
        <v>539</v>
      </c>
      <c r="BM35" s="170"/>
      <c r="BP35" s="108" t="s">
        <v>537</v>
      </c>
      <c r="BR35" s="148"/>
      <c r="BW35" s="108" t="s">
        <v>502</v>
      </c>
      <c r="CA35" s="149"/>
      <c r="CC35" s="150"/>
      <c r="CE35" s="145"/>
      <c r="CN35" s="155"/>
    </row>
    <row r="36" spans="1:92" s="108" customFormat="1">
      <c r="A36" s="340" t="s">
        <v>480</v>
      </c>
      <c r="B36" s="368" t="s">
        <v>69</v>
      </c>
      <c r="C36" s="368" t="s">
        <v>252</v>
      </c>
      <c r="D36" s="145"/>
      <c r="Y36" s="146"/>
      <c r="AQ36" s="147"/>
      <c r="BM36" s="170"/>
      <c r="BR36" s="148"/>
      <c r="CA36" s="149"/>
      <c r="CC36" s="150"/>
      <c r="CE36" s="145"/>
      <c r="CN36" s="155"/>
    </row>
    <row r="37" spans="1:92" s="108" customFormat="1">
      <c r="A37" s="340" t="s">
        <v>481</v>
      </c>
      <c r="B37" s="368" t="s">
        <v>69</v>
      </c>
      <c r="C37" s="368" t="s">
        <v>252</v>
      </c>
      <c r="D37" s="145"/>
      <c r="Y37" s="146"/>
      <c r="AQ37" s="147"/>
      <c r="BM37" s="170"/>
      <c r="BR37" s="148"/>
      <c r="CA37" s="149"/>
      <c r="CC37" s="150"/>
      <c r="CE37" s="145"/>
      <c r="CN37" s="155"/>
    </row>
    <row r="38" spans="1:92" s="108" customFormat="1">
      <c r="A38" s="340" t="s">
        <v>482</v>
      </c>
      <c r="B38" s="368" t="s">
        <v>69</v>
      </c>
      <c r="C38" s="368" t="s">
        <v>252</v>
      </c>
      <c r="D38" s="145"/>
      <c r="Y38" s="146"/>
      <c r="AQ38" s="147"/>
      <c r="BM38" s="170"/>
      <c r="BR38" s="148"/>
      <c r="CA38" s="149"/>
      <c r="CC38" s="150"/>
      <c r="CE38" s="145"/>
      <c r="CN38" s="155"/>
    </row>
    <row r="39" spans="1:92" s="138" customFormat="1">
      <c r="A39" s="341" t="s">
        <v>585</v>
      </c>
      <c r="B39" s="369" t="s">
        <v>69</v>
      </c>
      <c r="C39" s="369" t="s">
        <v>252</v>
      </c>
      <c r="D39" s="139"/>
      <c r="Q39" s="138" t="s">
        <v>826</v>
      </c>
      <c r="T39" s="138" t="s">
        <v>827</v>
      </c>
      <c r="Y39" s="140"/>
      <c r="AI39" s="138" t="s">
        <v>771</v>
      </c>
      <c r="AL39" s="138" t="s">
        <v>774</v>
      </c>
      <c r="AM39" s="138" t="s">
        <v>846</v>
      </c>
      <c r="AN39" s="138" t="s">
        <v>849</v>
      </c>
      <c r="AQ39" s="141" t="s">
        <v>828</v>
      </c>
      <c r="AV39" s="138" t="s">
        <v>829</v>
      </c>
      <c r="AZ39" s="138" t="s">
        <v>830</v>
      </c>
      <c r="BA39" s="138" t="s">
        <v>831</v>
      </c>
      <c r="BB39" s="138" t="s">
        <v>832</v>
      </c>
      <c r="BE39" s="138" t="s">
        <v>834</v>
      </c>
      <c r="BF39" s="138" t="s">
        <v>835</v>
      </c>
      <c r="BH39" s="138" t="s">
        <v>837</v>
      </c>
      <c r="BI39" s="138" t="s">
        <v>838</v>
      </c>
      <c r="BL39" s="138" t="s">
        <v>839</v>
      </c>
      <c r="BM39" s="171" t="s">
        <v>795</v>
      </c>
      <c r="BN39" s="138" t="s">
        <v>796</v>
      </c>
      <c r="BQ39" s="138" t="s">
        <v>799</v>
      </c>
      <c r="BR39" s="142"/>
      <c r="BS39" s="138" t="s">
        <v>815</v>
      </c>
      <c r="BU39" s="138" t="s">
        <v>817</v>
      </c>
      <c r="BZ39" s="138" t="s">
        <v>865</v>
      </c>
      <c r="CA39" s="143"/>
      <c r="CC39" s="144"/>
      <c r="CE39" s="139"/>
      <c r="CN39" s="156"/>
    </row>
    <row r="40" spans="1:92" s="138" customFormat="1">
      <c r="A40" s="341" t="s">
        <v>589</v>
      </c>
      <c r="B40" s="369" t="s">
        <v>69</v>
      </c>
      <c r="C40" s="369" t="s">
        <v>723</v>
      </c>
      <c r="D40" s="139"/>
      <c r="Q40" s="138" t="s">
        <v>599</v>
      </c>
      <c r="T40" s="138" t="s">
        <v>194</v>
      </c>
      <c r="Y40" s="140"/>
      <c r="AI40" s="138" t="s">
        <v>194</v>
      </c>
      <c r="AL40" s="138" t="s">
        <v>598</v>
      </c>
      <c r="AM40" s="138" t="s">
        <v>848</v>
      </c>
      <c r="AN40" s="138" t="s">
        <v>852</v>
      </c>
      <c r="AQ40" s="141" t="s">
        <v>597</v>
      </c>
      <c r="AV40" s="138" t="s">
        <v>410</v>
      </c>
      <c r="AZ40" s="138" t="s">
        <v>596</v>
      </c>
      <c r="BA40" s="138" t="s">
        <v>410</v>
      </c>
      <c r="BB40" s="138" t="s">
        <v>194</v>
      </c>
      <c r="BE40" s="138" t="s">
        <v>171</v>
      </c>
      <c r="BF40" s="138" t="s">
        <v>594</v>
      </c>
      <c r="BH40" s="138" t="s">
        <v>411</v>
      </c>
      <c r="BI40" s="138" t="s">
        <v>411</v>
      </c>
      <c r="BL40" s="138" t="s">
        <v>709</v>
      </c>
      <c r="BM40" s="171" t="s">
        <v>171</v>
      </c>
      <c r="BN40" s="138" t="s">
        <v>194</v>
      </c>
      <c r="BQ40" s="138" t="s">
        <v>410</v>
      </c>
      <c r="BR40" s="142"/>
      <c r="BS40" s="138" t="s">
        <v>194</v>
      </c>
      <c r="BU40" s="138" t="s">
        <v>474</v>
      </c>
      <c r="BZ40" s="138" t="s">
        <v>868</v>
      </c>
      <c r="CA40" s="143"/>
      <c r="CC40" s="144"/>
      <c r="CE40" s="139"/>
      <c r="CN40" s="156"/>
    </row>
    <row r="41" spans="1:92" s="138" customFormat="1">
      <c r="A41" s="341" t="s">
        <v>586</v>
      </c>
      <c r="B41" s="369" t="s">
        <v>69</v>
      </c>
      <c r="C41" s="369" t="s">
        <v>252</v>
      </c>
      <c r="D41" s="139"/>
      <c r="Y41" s="140"/>
      <c r="AQ41" s="141"/>
      <c r="BB41" s="138" t="s">
        <v>833</v>
      </c>
      <c r="BF41" s="138" t="s">
        <v>836</v>
      </c>
      <c r="BM41" s="171"/>
      <c r="BR41" s="142"/>
      <c r="CA41" s="143"/>
      <c r="CC41" s="144"/>
      <c r="CE41" s="139"/>
      <c r="CN41" s="156"/>
    </row>
    <row r="42" spans="1:92" s="138" customFormat="1">
      <c r="A42" s="341" t="s">
        <v>590</v>
      </c>
      <c r="B42" s="369" t="s">
        <v>69</v>
      </c>
      <c r="C42" s="369" t="s">
        <v>723</v>
      </c>
      <c r="D42" s="139"/>
      <c r="Y42" s="140"/>
      <c r="AQ42" s="141"/>
      <c r="BB42" s="138" t="s">
        <v>593</v>
      </c>
      <c r="BF42" s="138" t="s">
        <v>595</v>
      </c>
      <c r="BM42" s="171"/>
      <c r="BR42" s="142"/>
      <c r="CA42" s="143"/>
      <c r="CC42" s="144"/>
      <c r="CE42" s="139"/>
      <c r="CN42" s="156"/>
    </row>
    <row r="43" spans="1:92" s="138" customFormat="1">
      <c r="A43" s="341" t="s">
        <v>587</v>
      </c>
      <c r="B43" s="369" t="s">
        <v>69</v>
      </c>
      <c r="C43" s="369" t="s">
        <v>252</v>
      </c>
      <c r="D43" s="139"/>
      <c r="Y43" s="140"/>
      <c r="AQ43" s="141"/>
      <c r="BM43" s="171"/>
      <c r="BR43" s="142"/>
      <c r="CA43" s="143"/>
      <c r="CC43" s="144"/>
      <c r="CE43" s="139"/>
      <c r="CN43" s="156"/>
    </row>
    <row r="44" spans="1:92" s="138" customFormat="1">
      <c r="A44" s="341" t="s">
        <v>591</v>
      </c>
      <c r="B44" s="369" t="s">
        <v>69</v>
      </c>
      <c r="C44" s="369" t="s">
        <v>723</v>
      </c>
      <c r="D44" s="139"/>
      <c r="Y44" s="140"/>
      <c r="AQ44" s="141"/>
      <c r="BM44" s="171"/>
      <c r="BR44" s="142"/>
      <c r="CA44" s="143"/>
      <c r="CC44" s="144"/>
      <c r="CE44" s="139"/>
      <c r="CN44" s="156"/>
    </row>
    <row r="45" spans="1:92" s="138" customFormat="1">
      <c r="A45" s="341" t="s">
        <v>588</v>
      </c>
      <c r="B45" s="369" t="s">
        <v>69</v>
      </c>
      <c r="C45" s="369" t="s">
        <v>252</v>
      </c>
      <c r="D45" s="139"/>
      <c r="Y45" s="140"/>
      <c r="AQ45" s="141"/>
      <c r="BM45" s="171"/>
      <c r="BR45" s="142"/>
      <c r="CA45" s="143"/>
      <c r="CC45" s="144"/>
      <c r="CE45" s="139"/>
      <c r="CN45" s="156"/>
    </row>
    <row r="46" spans="1:92" s="138" customFormat="1">
      <c r="A46" s="341" t="s">
        <v>592</v>
      </c>
      <c r="B46" s="369" t="s">
        <v>69</v>
      </c>
      <c r="C46" s="369" t="s">
        <v>723</v>
      </c>
      <c r="D46" s="139"/>
      <c r="Y46" s="140"/>
      <c r="AQ46" s="141"/>
      <c r="BM46" s="171"/>
      <c r="BR46" s="142"/>
      <c r="CA46" s="143"/>
      <c r="CC46" s="144"/>
      <c r="CE46" s="139"/>
      <c r="CN46" s="156"/>
    </row>
    <row r="47" spans="1:92" s="6" customFormat="1">
      <c r="A47" s="342" t="s">
        <v>246</v>
      </c>
      <c r="B47" s="370" t="s">
        <v>69</v>
      </c>
      <c r="C47" s="370" t="s">
        <v>247</v>
      </c>
      <c r="D47" s="29" t="s">
        <v>69</v>
      </c>
      <c r="E47" s="6" t="s">
        <v>69</v>
      </c>
      <c r="F47" s="6" t="s">
        <v>79</v>
      </c>
      <c r="G47" s="6" t="s">
        <v>69</v>
      </c>
      <c r="H47" s="6" t="s">
        <v>69</v>
      </c>
      <c r="I47" s="6" t="s">
        <v>79</v>
      </c>
      <c r="J47" s="6" t="s">
        <v>69</v>
      </c>
      <c r="K47" s="6" t="s">
        <v>69</v>
      </c>
      <c r="L47" s="6" t="s">
        <v>69</v>
      </c>
      <c r="M47" s="6" t="s">
        <v>79</v>
      </c>
      <c r="N47" s="6" t="s">
        <v>79</v>
      </c>
      <c r="O47" s="6" t="s">
        <v>79</v>
      </c>
      <c r="P47" s="6" t="s">
        <v>79</v>
      </c>
      <c r="Q47" s="6" t="s">
        <v>69</v>
      </c>
      <c r="R47" s="6" t="s">
        <v>79</v>
      </c>
      <c r="S47" s="6" t="s">
        <v>79</v>
      </c>
      <c r="T47" s="6" t="s">
        <v>69</v>
      </c>
      <c r="U47" s="6" t="s">
        <v>79</v>
      </c>
      <c r="V47" s="6" t="s">
        <v>79</v>
      </c>
      <c r="W47" s="6" t="s">
        <v>69</v>
      </c>
      <c r="X47" s="6" t="s">
        <v>79</v>
      </c>
      <c r="Y47" s="6" t="s">
        <v>69</v>
      </c>
      <c r="Z47" s="6" t="s">
        <v>79</v>
      </c>
      <c r="AA47" s="6" t="s">
        <v>79</v>
      </c>
      <c r="AB47" s="6" t="s">
        <v>79</v>
      </c>
      <c r="AC47" s="6" t="s">
        <v>728</v>
      </c>
      <c r="AD47" s="6" t="s">
        <v>79</v>
      </c>
      <c r="AE47" s="6" t="s">
        <v>69</v>
      </c>
      <c r="AF47" s="6" t="s">
        <v>69</v>
      </c>
      <c r="AG47" s="6" t="s">
        <v>69</v>
      </c>
      <c r="AH47" s="6" t="s">
        <v>69</v>
      </c>
      <c r="AI47" s="6" t="s">
        <v>79</v>
      </c>
      <c r="AJ47" s="6" t="s">
        <v>69</v>
      </c>
      <c r="AK47" s="6" t="s">
        <v>79</v>
      </c>
      <c r="AL47" s="6" t="s">
        <v>79</v>
      </c>
      <c r="AM47" s="6" t="s">
        <v>69</v>
      </c>
      <c r="AN47" s="6" t="s">
        <v>69</v>
      </c>
      <c r="AO47" s="6" t="s">
        <v>69</v>
      </c>
      <c r="AP47" s="6" t="s">
        <v>79</v>
      </c>
      <c r="AQ47" s="34" t="s">
        <v>69</v>
      </c>
      <c r="AR47" s="6" t="s">
        <v>69</v>
      </c>
      <c r="AS47" s="6" t="s">
        <v>79</v>
      </c>
      <c r="AT47" s="6" t="s">
        <v>69</v>
      </c>
      <c r="AU47" s="6" t="s">
        <v>69</v>
      </c>
      <c r="AV47" s="6" t="s">
        <v>79</v>
      </c>
      <c r="AW47" s="6" t="s">
        <v>69</v>
      </c>
      <c r="AX47" s="6" t="s">
        <v>69</v>
      </c>
      <c r="AY47" s="6" t="s">
        <v>79</v>
      </c>
      <c r="AZ47" s="6" t="s">
        <v>69</v>
      </c>
      <c r="BA47" s="6" t="s">
        <v>79</v>
      </c>
      <c r="BB47" s="6" t="s">
        <v>69</v>
      </c>
      <c r="BC47" s="6" t="s">
        <v>69</v>
      </c>
      <c r="BD47" s="6" t="s">
        <v>79</v>
      </c>
      <c r="BE47" s="6" t="s">
        <v>69</v>
      </c>
      <c r="BF47" s="6" t="s">
        <v>69</v>
      </c>
      <c r="BG47" s="6" t="s">
        <v>69</v>
      </c>
      <c r="BH47" s="6" t="s">
        <v>69</v>
      </c>
      <c r="BI47" s="6" t="s">
        <v>69</v>
      </c>
      <c r="BJ47" s="6" t="s">
        <v>79</v>
      </c>
      <c r="BK47" s="6" t="s">
        <v>79</v>
      </c>
      <c r="BL47" s="6" t="s">
        <v>69</v>
      </c>
      <c r="BM47" s="167" t="s">
        <v>69</v>
      </c>
      <c r="BN47" s="6" t="s">
        <v>69</v>
      </c>
      <c r="BO47" s="6" t="s">
        <v>79</v>
      </c>
      <c r="BP47" s="6" t="s">
        <v>69</v>
      </c>
      <c r="BQ47" s="6" t="s">
        <v>69</v>
      </c>
      <c r="BR47" s="50" t="s">
        <v>69</v>
      </c>
      <c r="BS47" s="6" t="s">
        <v>69</v>
      </c>
      <c r="BT47" s="6" t="s">
        <v>79</v>
      </c>
      <c r="BU47" s="6" t="s">
        <v>79</v>
      </c>
      <c r="BV47" s="6" t="s">
        <v>79</v>
      </c>
      <c r="BW47" s="6" t="s">
        <v>69</v>
      </c>
      <c r="BX47" s="6" t="s">
        <v>69</v>
      </c>
      <c r="BY47" s="6" t="s">
        <v>79</v>
      </c>
      <c r="BZ47" s="6" t="s">
        <v>728</v>
      </c>
      <c r="CA47" s="58" t="s">
        <v>69</v>
      </c>
      <c r="CB47" s="6" t="s">
        <v>69</v>
      </c>
      <c r="CC47" s="67" t="s">
        <v>69</v>
      </c>
      <c r="CD47" s="6" t="s">
        <v>69</v>
      </c>
      <c r="CE47" s="29" t="s">
        <v>69</v>
      </c>
      <c r="CF47" s="6" t="s">
        <v>69</v>
      </c>
      <c r="CG47" s="6" t="s">
        <v>69</v>
      </c>
      <c r="CH47" s="6" t="s">
        <v>69</v>
      </c>
      <c r="CI47" s="6" t="s">
        <v>69</v>
      </c>
      <c r="CJ47" s="6" t="s">
        <v>69</v>
      </c>
      <c r="CK47" s="6" t="s">
        <v>69</v>
      </c>
      <c r="CL47" s="6" t="s">
        <v>69</v>
      </c>
      <c r="CM47" s="6" t="s">
        <v>69</v>
      </c>
      <c r="CN47" s="157"/>
    </row>
    <row r="48" spans="1:92" s="6" customFormat="1">
      <c r="A48" s="342" t="s">
        <v>68</v>
      </c>
      <c r="B48" s="370" t="s">
        <v>69</v>
      </c>
      <c r="C48" s="370" t="s">
        <v>247</v>
      </c>
      <c r="D48" s="29"/>
      <c r="F48" s="6" t="s">
        <v>79</v>
      </c>
      <c r="I48" s="6" t="s">
        <v>79</v>
      </c>
      <c r="M48" s="6" t="s">
        <v>69</v>
      </c>
      <c r="N48" s="6" t="s">
        <v>69</v>
      </c>
      <c r="O48" s="6" t="s">
        <v>69</v>
      </c>
      <c r="P48" s="6" t="s">
        <v>79</v>
      </c>
      <c r="R48" s="6" t="s">
        <v>69</v>
      </c>
      <c r="S48" s="6" t="s">
        <v>69</v>
      </c>
      <c r="U48" s="6" t="s">
        <v>79</v>
      </c>
      <c r="V48" s="6" t="s">
        <v>79</v>
      </c>
      <c r="X48" s="6" t="s">
        <v>79</v>
      </c>
      <c r="Z48" s="6" t="s">
        <v>79</v>
      </c>
      <c r="AA48" s="6" t="s">
        <v>69</v>
      </c>
      <c r="AB48" s="6" t="s">
        <v>79</v>
      </c>
      <c r="AD48" s="6" t="s">
        <v>69</v>
      </c>
      <c r="AI48" s="6" t="s">
        <v>79</v>
      </c>
      <c r="AK48" s="6" t="s">
        <v>79</v>
      </c>
      <c r="AL48" s="6" t="s">
        <v>69</v>
      </c>
      <c r="AP48" s="6" t="s">
        <v>69</v>
      </c>
      <c r="AQ48" s="34"/>
      <c r="AS48" s="6" t="s">
        <v>79</v>
      </c>
      <c r="AV48" s="6" t="s">
        <v>69</v>
      </c>
      <c r="AY48" s="6" t="s">
        <v>79</v>
      </c>
      <c r="BA48" s="6" t="s">
        <v>69</v>
      </c>
      <c r="BD48" s="6" t="s">
        <v>69</v>
      </c>
      <c r="BJ48" s="6" t="s">
        <v>79</v>
      </c>
      <c r="BK48" s="6" t="s">
        <v>79</v>
      </c>
      <c r="BM48" s="167"/>
      <c r="BO48" s="6" t="s">
        <v>79</v>
      </c>
      <c r="BR48" s="50"/>
      <c r="BT48" s="6" t="s">
        <v>79</v>
      </c>
      <c r="BU48" s="6" t="s">
        <v>79</v>
      </c>
      <c r="BV48" s="6" t="s">
        <v>79</v>
      </c>
      <c r="BY48" s="6" t="s">
        <v>69</v>
      </c>
      <c r="CA48" s="58"/>
      <c r="CC48" s="67"/>
      <c r="CE48" s="29"/>
      <c r="CN48" s="157"/>
    </row>
    <row r="49" spans="1:92" s="6" customFormat="1">
      <c r="A49" s="342" t="s">
        <v>66</v>
      </c>
      <c r="B49" s="370" t="s">
        <v>69</v>
      </c>
      <c r="C49" s="370" t="s">
        <v>248</v>
      </c>
      <c r="D49" s="29"/>
      <c r="F49" s="6" t="s">
        <v>39</v>
      </c>
      <c r="I49" s="6" t="s">
        <v>106</v>
      </c>
      <c r="M49" s="6" t="s">
        <v>70</v>
      </c>
      <c r="N49" s="6" t="s">
        <v>70</v>
      </c>
      <c r="O49" s="6" t="s">
        <v>70</v>
      </c>
      <c r="P49" s="6" t="s">
        <v>53</v>
      </c>
      <c r="R49" s="6" t="s">
        <v>70</v>
      </c>
      <c r="S49" s="6" t="s">
        <v>70</v>
      </c>
      <c r="U49" s="6" t="s">
        <v>106</v>
      </c>
      <c r="V49" s="6" t="s">
        <v>106</v>
      </c>
      <c r="X49" s="6" t="s">
        <v>106</v>
      </c>
      <c r="Z49" s="6" t="s">
        <v>106</v>
      </c>
      <c r="AA49" s="6" t="s">
        <v>70</v>
      </c>
      <c r="AB49" s="6" t="s">
        <v>34</v>
      </c>
      <c r="AD49" s="6" t="s">
        <v>117</v>
      </c>
      <c r="AI49" s="6" t="s">
        <v>53</v>
      </c>
      <c r="AK49" s="6" t="s">
        <v>106</v>
      </c>
      <c r="AL49" s="6" t="s">
        <v>70</v>
      </c>
      <c r="AP49" s="6" t="s">
        <v>117</v>
      </c>
      <c r="AQ49" s="34"/>
      <c r="AS49" s="6" t="s">
        <v>106</v>
      </c>
      <c r="AV49" s="6" t="s">
        <v>70</v>
      </c>
      <c r="AY49" s="6" t="s">
        <v>161</v>
      </c>
      <c r="BA49" s="6" t="s">
        <v>70</v>
      </c>
      <c r="BD49" s="6" t="s">
        <v>70</v>
      </c>
      <c r="BJ49" s="6" t="s">
        <v>604</v>
      </c>
      <c r="BK49" s="6" t="s">
        <v>607</v>
      </c>
      <c r="BM49" s="167"/>
      <c r="BO49" s="6" t="s">
        <v>182</v>
      </c>
      <c r="BR49" s="50"/>
      <c r="BT49" s="6" t="s">
        <v>53</v>
      </c>
      <c r="BU49" s="6" t="s">
        <v>34</v>
      </c>
      <c r="BV49" s="6" t="s">
        <v>204</v>
      </c>
      <c r="BY49" s="6" t="s">
        <v>218</v>
      </c>
      <c r="CA49" s="58"/>
      <c r="CC49" s="67"/>
      <c r="CE49" s="29"/>
      <c r="CN49" s="157"/>
    </row>
    <row r="50" spans="1:92" s="6" customFormat="1">
      <c r="A50" s="342" t="s">
        <v>67</v>
      </c>
      <c r="B50" s="370" t="s">
        <v>69</v>
      </c>
      <c r="C50" s="370" t="s">
        <v>248</v>
      </c>
      <c r="D50" s="29"/>
      <c r="F50" s="6" t="s">
        <v>100</v>
      </c>
      <c r="I50" s="6" t="s">
        <v>42</v>
      </c>
      <c r="M50" s="6" t="s">
        <v>42</v>
      </c>
      <c r="N50" s="6" t="s">
        <v>42</v>
      </c>
      <c r="O50" s="6" t="s">
        <v>42</v>
      </c>
      <c r="P50" s="6" t="s">
        <v>54</v>
      </c>
      <c r="R50" s="6" t="s">
        <v>42</v>
      </c>
      <c r="S50" s="6" t="s">
        <v>42</v>
      </c>
      <c r="U50" s="6" t="s">
        <v>54</v>
      </c>
      <c r="V50" s="6" t="s">
        <v>111</v>
      </c>
      <c r="X50" s="6" t="s">
        <v>54</v>
      </c>
      <c r="Z50" s="6" t="s">
        <v>42</v>
      </c>
      <c r="AA50" s="6" t="s">
        <v>42</v>
      </c>
      <c r="AB50" s="6" t="s">
        <v>42</v>
      </c>
      <c r="AD50" s="6" t="s">
        <v>94</v>
      </c>
      <c r="AI50" s="6" t="s">
        <v>42</v>
      </c>
      <c r="AK50" s="6" t="s">
        <v>42</v>
      </c>
      <c r="AL50" s="6" t="s">
        <v>42</v>
      </c>
      <c r="AP50" s="6" t="s">
        <v>42</v>
      </c>
      <c r="AQ50" s="34"/>
      <c r="AS50" s="6" t="s">
        <v>94</v>
      </c>
      <c r="AV50" s="6" t="s">
        <v>42</v>
      </c>
      <c r="AY50" s="6" t="s">
        <v>71</v>
      </c>
      <c r="BA50" s="6" t="s">
        <v>42</v>
      </c>
      <c r="BD50" s="6" t="s">
        <v>94</v>
      </c>
      <c r="BJ50" s="6" t="s">
        <v>42</v>
      </c>
      <c r="BK50" s="6" t="s">
        <v>42</v>
      </c>
      <c r="BM50" s="167"/>
      <c r="BO50" s="6" t="s">
        <v>42</v>
      </c>
      <c r="BR50" s="50"/>
      <c r="BT50" s="6" t="s">
        <v>75</v>
      </c>
      <c r="BU50" s="6" t="s">
        <v>200</v>
      </c>
      <c r="BV50" s="6" t="s">
        <v>42</v>
      </c>
      <c r="BY50" s="6" t="s">
        <v>42</v>
      </c>
      <c r="CA50" s="58"/>
      <c r="CC50" s="67"/>
      <c r="CE50" s="29"/>
      <c r="CN50" s="157"/>
    </row>
    <row r="51" spans="1:92" s="6" customFormat="1">
      <c r="A51" s="342" t="s">
        <v>1596</v>
      </c>
      <c r="B51" s="370" t="s">
        <v>69</v>
      </c>
      <c r="C51" s="370" t="s">
        <v>247</v>
      </c>
      <c r="D51" s="29"/>
      <c r="F51" s="6" t="s">
        <v>69</v>
      </c>
      <c r="I51" s="6" t="s">
        <v>79</v>
      </c>
      <c r="M51" s="6" t="s">
        <v>69</v>
      </c>
      <c r="N51" s="6" t="s">
        <v>69</v>
      </c>
      <c r="O51" s="6" t="s">
        <v>69</v>
      </c>
      <c r="P51" s="6" t="s">
        <v>69</v>
      </c>
      <c r="R51" s="6" t="s">
        <v>69</v>
      </c>
      <c r="S51" s="6" t="s">
        <v>69</v>
      </c>
      <c r="U51" s="6" t="s">
        <v>69</v>
      </c>
      <c r="V51" s="6" t="s">
        <v>69</v>
      </c>
      <c r="X51" s="6" t="s">
        <v>69</v>
      </c>
      <c r="Z51" s="6" t="s">
        <v>69</v>
      </c>
      <c r="AA51" s="6" t="s">
        <v>69</v>
      </c>
      <c r="AB51" s="6" t="s">
        <v>69</v>
      </c>
      <c r="AD51" s="6" t="s">
        <v>69</v>
      </c>
      <c r="AI51" s="6" t="s">
        <v>69</v>
      </c>
      <c r="AK51" s="6" t="s">
        <v>69</v>
      </c>
      <c r="AL51" s="6" t="s">
        <v>69</v>
      </c>
      <c r="AP51" s="6" t="s">
        <v>69</v>
      </c>
      <c r="AQ51" s="34"/>
      <c r="AS51" s="6" t="s">
        <v>69</v>
      </c>
      <c r="AV51" s="6" t="s">
        <v>69</v>
      </c>
      <c r="AY51" s="6" t="s">
        <v>69</v>
      </c>
      <c r="BA51" s="6" t="s">
        <v>69</v>
      </c>
      <c r="BD51" s="6" t="s">
        <v>69</v>
      </c>
      <c r="BJ51" s="6" t="s">
        <v>69</v>
      </c>
      <c r="BK51" s="6" t="s">
        <v>69</v>
      </c>
      <c r="BM51" s="167"/>
      <c r="BO51" s="6" t="s">
        <v>69</v>
      </c>
      <c r="BR51" s="50"/>
      <c r="BT51" s="6" t="s">
        <v>69</v>
      </c>
      <c r="BU51" s="6" t="s">
        <v>69</v>
      </c>
      <c r="BV51" s="6" t="s">
        <v>69</v>
      </c>
      <c r="BY51" s="6" t="s">
        <v>69</v>
      </c>
      <c r="CA51" s="58"/>
      <c r="CC51" s="67"/>
      <c r="CE51" s="29"/>
      <c r="CN51" s="157"/>
    </row>
    <row r="52" spans="1:92" s="6" customFormat="1">
      <c r="A52" s="342" t="s">
        <v>1597</v>
      </c>
      <c r="B52" s="370" t="s">
        <v>69</v>
      </c>
      <c r="C52" s="370" t="s">
        <v>247</v>
      </c>
      <c r="D52" s="29"/>
      <c r="F52" s="6" t="s">
        <v>69</v>
      </c>
      <c r="I52" s="6" t="s">
        <v>69</v>
      </c>
      <c r="M52" s="6" t="s">
        <v>69</v>
      </c>
      <c r="N52" s="6" t="s">
        <v>69</v>
      </c>
      <c r="O52" s="6" t="s">
        <v>69</v>
      </c>
      <c r="P52" s="6" t="s">
        <v>69</v>
      </c>
      <c r="R52" s="6" t="s">
        <v>69</v>
      </c>
      <c r="S52" s="6" t="s">
        <v>69</v>
      </c>
      <c r="U52" s="6" t="s">
        <v>69</v>
      </c>
      <c r="V52" s="6" t="s">
        <v>69</v>
      </c>
      <c r="X52" s="6" t="s">
        <v>69</v>
      </c>
      <c r="Z52" s="6" t="s">
        <v>69</v>
      </c>
      <c r="AA52" s="6" t="s">
        <v>69</v>
      </c>
      <c r="AB52" s="6" t="s">
        <v>69</v>
      </c>
      <c r="AD52" s="6" t="s">
        <v>69</v>
      </c>
      <c r="AI52" s="6" t="s">
        <v>69</v>
      </c>
      <c r="AK52" s="6" t="s">
        <v>69</v>
      </c>
      <c r="AL52" s="6" t="s">
        <v>69</v>
      </c>
      <c r="AP52" s="6" t="s">
        <v>69</v>
      </c>
      <c r="AQ52" s="34"/>
      <c r="AS52" s="6" t="s">
        <v>69</v>
      </c>
      <c r="AV52" s="6" t="s">
        <v>69</v>
      </c>
      <c r="AY52" s="6" t="s">
        <v>69</v>
      </c>
      <c r="BA52" s="6" t="s">
        <v>69</v>
      </c>
      <c r="BD52" s="6" t="s">
        <v>69</v>
      </c>
      <c r="BJ52" s="6" t="s">
        <v>69</v>
      </c>
      <c r="BK52" s="6" t="s">
        <v>69</v>
      </c>
      <c r="BM52" s="167"/>
      <c r="BO52" s="6" t="s">
        <v>69</v>
      </c>
      <c r="BR52" s="50"/>
      <c r="BT52" s="6" t="s">
        <v>69</v>
      </c>
      <c r="BU52" s="6" t="s">
        <v>69</v>
      </c>
      <c r="BV52" s="6" t="s">
        <v>69</v>
      </c>
      <c r="BY52" s="6" t="s">
        <v>69</v>
      </c>
      <c r="CA52" s="58"/>
      <c r="CC52" s="67"/>
      <c r="CE52" s="29"/>
      <c r="CN52" s="157"/>
    </row>
    <row r="53" spans="1:92" s="7" customFormat="1">
      <c r="A53" s="343" t="s">
        <v>964</v>
      </c>
      <c r="B53" s="371" t="s">
        <v>69</v>
      </c>
      <c r="C53" s="371" t="s">
        <v>248</v>
      </c>
      <c r="D53" s="116"/>
      <c r="AE53" s="7" t="s">
        <v>40</v>
      </c>
      <c r="AF53" s="7" t="s">
        <v>40</v>
      </c>
      <c r="AG53" s="7" t="s">
        <v>33</v>
      </c>
      <c r="AQ53" s="33"/>
      <c r="BM53" s="166"/>
      <c r="BR53" s="117"/>
      <c r="CA53" s="118"/>
      <c r="CC53" s="119"/>
      <c r="CE53" s="116"/>
      <c r="CN53" s="158"/>
    </row>
    <row r="54" spans="1:92" s="7" customFormat="1">
      <c r="A54" s="343" t="s">
        <v>965</v>
      </c>
      <c r="B54" s="371" t="s">
        <v>69</v>
      </c>
      <c r="C54" s="371" t="s">
        <v>248</v>
      </c>
      <c r="D54" s="116" t="s">
        <v>1712</v>
      </c>
      <c r="AQ54" s="33"/>
      <c r="BJ54" s="7" t="s">
        <v>132</v>
      </c>
      <c r="BM54" s="166"/>
      <c r="BR54" s="117"/>
      <c r="BU54" s="7" t="s">
        <v>28</v>
      </c>
      <c r="CA54" s="118"/>
      <c r="CC54" s="119"/>
      <c r="CE54" s="116"/>
      <c r="CN54" s="158"/>
    </row>
    <row r="55" spans="1:92" s="7" customFormat="1">
      <c r="A55" s="343" t="s">
        <v>717</v>
      </c>
      <c r="B55" s="371" t="s">
        <v>69</v>
      </c>
      <c r="C55" s="371" t="s">
        <v>248</v>
      </c>
      <c r="D55" s="116"/>
      <c r="L55" s="7" t="s">
        <v>33</v>
      </c>
      <c r="AP55" s="7" t="s">
        <v>170</v>
      </c>
      <c r="AQ55" s="33"/>
      <c r="BJ55" s="7" t="s">
        <v>108</v>
      </c>
      <c r="BM55" s="166"/>
      <c r="BR55" s="117"/>
      <c r="BU55" s="7" t="s">
        <v>250</v>
      </c>
      <c r="BY55" s="7" t="s">
        <v>42</v>
      </c>
      <c r="CA55" s="118" t="s">
        <v>98</v>
      </c>
      <c r="CC55" s="119"/>
      <c r="CE55" s="116"/>
      <c r="CN55" s="158"/>
    </row>
    <row r="56" spans="1:92" s="132" customFormat="1">
      <c r="A56" s="344" t="s">
        <v>966</v>
      </c>
      <c r="B56" s="372" t="s">
        <v>69</v>
      </c>
      <c r="C56" s="372" t="s">
        <v>248</v>
      </c>
      <c r="D56" s="133" t="s">
        <v>447</v>
      </c>
      <c r="E56" s="132" t="s">
        <v>447</v>
      </c>
      <c r="F56" s="132" t="s">
        <v>447</v>
      </c>
      <c r="G56" s="132" t="s">
        <v>447</v>
      </c>
      <c r="H56" s="132" t="s">
        <v>447</v>
      </c>
      <c r="I56" s="132" t="s">
        <v>447</v>
      </c>
      <c r="J56" s="132" t="s">
        <v>40</v>
      </c>
      <c r="K56" s="132" t="s">
        <v>447</v>
      </c>
      <c r="L56" s="132" t="s">
        <v>447</v>
      </c>
      <c r="M56" s="132" t="s">
        <v>447</v>
      </c>
      <c r="N56" s="132" t="s">
        <v>447</v>
      </c>
      <c r="O56" s="132" t="s">
        <v>447</v>
      </c>
      <c r="P56" s="132" t="s">
        <v>447</v>
      </c>
      <c r="R56" s="132" t="s">
        <v>447</v>
      </c>
      <c r="S56" s="132" t="s">
        <v>447</v>
      </c>
      <c r="T56" s="132" t="s">
        <v>447</v>
      </c>
      <c r="U56" s="132" t="s">
        <v>447</v>
      </c>
      <c r="V56" s="132" t="s">
        <v>447</v>
      </c>
      <c r="W56" s="132" t="s">
        <v>447</v>
      </c>
      <c r="X56" s="132" t="s">
        <v>447</v>
      </c>
      <c r="Z56" s="132" t="s">
        <v>447</v>
      </c>
      <c r="AA56" s="132" t="s">
        <v>447</v>
      </c>
      <c r="AB56" s="132" t="s">
        <v>447</v>
      </c>
      <c r="AC56" s="132" t="s">
        <v>447</v>
      </c>
      <c r="AD56" s="132" t="s">
        <v>447</v>
      </c>
      <c r="AE56" s="132" t="s">
        <v>1635</v>
      </c>
      <c r="AF56" s="132" t="s">
        <v>1635</v>
      </c>
      <c r="AG56" s="132" t="s">
        <v>1635</v>
      </c>
      <c r="AH56" s="132" t="s">
        <v>447</v>
      </c>
      <c r="AI56" s="132" t="s">
        <v>447</v>
      </c>
      <c r="AJ56" s="132" t="s">
        <v>447</v>
      </c>
      <c r="AK56" s="132" t="s">
        <v>447</v>
      </c>
      <c r="AL56" s="132" t="s">
        <v>447</v>
      </c>
      <c r="AP56" s="132" t="s">
        <v>447</v>
      </c>
      <c r="AQ56" s="134"/>
      <c r="AR56" s="132" t="s">
        <v>448</v>
      </c>
      <c r="AS56" s="132" t="s">
        <v>448</v>
      </c>
      <c r="AT56" s="132" t="s">
        <v>448</v>
      </c>
      <c r="AU56" s="132" t="s">
        <v>448</v>
      </c>
      <c r="AV56" s="132" t="s">
        <v>448</v>
      </c>
      <c r="AX56" s="132" t="s">
        <v>448</v>
      </c>
      <c r="BA56" s="132" t="s">
        <v>448</v>
      </c>
      <c r="BC56" s="132" t="s">
        <v>448</v>
      </c>
      <c r="BD56" s="132" t="s">
        <v>448</v>
      </c>
      <c r="BJ56" s="132" t="s">
        <v>448</v>
      </c>
      <c r="BK56" s="132" t="s">
        <v>448</v>
      </c>
      <c r="BM56" s="172"/>
      <c r="BN56" s="132" t="s">
        <v>448</v>
      </c>
      <c r="BO56" s="132" t="s">
        <v>448</v>
      </c>
      <c r="BP56" s="132" t="s">
        <v>448</v>
      </c>
      <c r="BQ56" s="132" t="s">
        <v>448</v>
      </c>
      <c r="BR56" s="135" t="s">
        <v>118</v>
      </c>
      <c r="BS56" s="132" t="s">
        <v>118</v>
      </c>
      <c r="BT56" s="132" t="s">
        <v>118</v>
      </c>
      <c r="BU56" s="132" t="s">
        <v>118</v>
      </c>
      <c r="BV56" s="132" t="s">
        <v>118</v>
      </c>
      <c r="BX56" s="132" t="s">
        <v>118</v>
      </c>
      <c r="BY56" s="132" t="s">
        <v>118</v>
      </c>
      <c r="BZ56" s="132" t="s">
        <v>118</v>
      </c>
      <c r="CA56" s="136" t="s">
        <v>449</v>
      </c>
      <c r="CB56" s="132" t="s">
        <v>449</v>
      </c>
      <c r="CC56" s="137" t="s">
        <v>40</v>
      </c>
      <c r="CD56" s="132" t="s">
        <v>40</v>
      </c>
      <c r="CE56" s="133"/>
      <c r="CN56" s="159"/>
    </row>
    <row r="57" spans="1:92" s="120" customFormat="1">
      <c r="A57" s="345" t="s">
        <v>41</v>
      </c>
      <c r="B57" s="373" t="s">
        <v>69</v>
      </c>
      <c r="C57" s="373" t="s">
        <v>248</v>
      </c>
      <c r="D57" s="121" t="s">
        <v>42</v>
      </c>
      <c r="E57" s="120" t="s">
        <v>43</v>
      </c>
      <c r="F57" s="120" t="s">
        <v>43</v>
      </c>
      <c r="G57" s="120" t="s">
        <v>43</v>
      </c>
      <c r="H57" s="120" t="s">
        <v>29</v>
      </c>
      <c r="I57" s="120" t="s">
        <v>160</v>
      </c>
      <c r="K57" s="120" t="s">
        <v>54</v>
      </c>
      <c r="L57" s="120" t="s">
        <v>58</v>
      </c>
      <c r="M57" s="120" t="s">
        <v>30</v>
      </c>
      <c r="N57" s="120" t="s">
        <v>77</v>
      </c>
      <c r="O57" s="120" t="s">
        <v>73</v>
      </c>
      <c r="P57" s="120" t="s">
        <v>115</v>
      </c>
      <c r="R57" s="120" t="s">
        <v>94</v>
      </c>
      <c r="S57" s="120" t="s">
        <v>73</v>
      </c>
      <c r="T57" s="120" t="s">
        <v>100</v>
      </c>
      <c r="U57" s="120" t="s">
        <v>100</v>
      </c>
      <c r="V57" s="120" t="s">
        <v>108</v>
      </c>
      <c r="W57" s="120">
        <v>3.7499999999999999E-2</v>
      </c>
      <c r="X57" s="120" t="s">
        <v>115</v>
      </c>
      <c r="Z57" s="120" t="s">
        <v>73</v>
      </c>
      <c r="AA57" s="120" t="s">
        <v>121</v>
      </c>
      <c r="AB57" s="120" t="s">
        <v>94</v>
      </c>
      <c r="AC57" s="120" t="s">
        <v>464</v>
      </c>
      <c r="AD57" s="120" t="s">
        <v>169</v>
      </c>
      <c r="AH57" s="120" t="s">
        <v>71</v>
      </c>
      <c r="AI57" s="120" t="s">
        <v>125</v>
      </c>
      <c r="AJ57" s="120" t="s">
        <v>29</v>
      </c>
      <c r="AK57" s="120" t="s">
        <v>94</v>
      </c>
      <c r="AL57" s="120" t="s">
        <v>132</v>
      </c>
      <c r="AP57" s="120" t="s">
        <v>115</v>
      </c>
      <c r="AQ57" s="122"/>
      <c r="AR57" s="120" t="s">
        <v>98</v>
      </c>
      <c r="AS57" s="120" t="s">
        <v>141</v>
      </c>
      <c r="AT57" s="120" t="s">
        <v>145</v>
      </c>
      <c r="AU57" s="120" t="s">
        <v>33</v>
      </c>
      <c r="AV57" s="120" t="s">
        <v>155</v>
      </c>
      <c r="AX57" s="120">
        <v>0.11749999999999999</v>
      </c>
      <c r="BA57" s="120" t="s">
        <v>125</v>
      </c>
      <c r="BC57" s="120" t="s">
        <v>167</v>
      </c>
      <c r="BD57" s="120" t="s">
        <v>169</v>
      </c>
      <c r="BJ57" s="120" t="s">
        <v>115</v>
      </c>
      <c r="BK57" s="120" t="s">
        <v>54</v>
      </c>
      <c r="BM57" s="173"/>
      <c r="BN57" s="120" t="s">
        <v>132</v>
      </c>
      <c r="BO57" s="120" t="s">
        <v>54</v>
      </c>
      <c r="BP57" s="120" t="s">
        <v>28</v>
      </c>
      <c r="BQ57" s="120" t="s">
        <v>54</v>
      </c>
      <c r="BR57" s="123" t="s">
        <v>190</v>
      </c>
      <c r="BS57" s="120" t="s">
        <v>40</v>
      </c>
      <c r="BT57" s="120" t="s">
        <v>28</v>
      </c>
      <c r="BU57" s="120" t="s">
        <v>198</v>
      </c>
      <c r="BV57" s="120" t="s">
        <v>662</v>
      </c>
      <c r="BX57" s="120" t="s">
        <v>209</v>
      </c>
      <c r="BY57" s="120" t="s">
        <v>73</v>
      </c>
      <c r="BZ57" s="120" t="s">
        <v>620</v>
      </c>
      <c r="CA57" s="124" t="s">
        <v>54</v>
      </c>
      <c r="CB57" s="120" t="s">
        <v>213</v>
      </c>
      <c r="CC57" s="125" t="s">
        <v>217</v>
      </c>
      <c r="CD57" s="120" t="s">
        <v>121</v>
      </c>
      <c r="CE57" s="121"/>
      <c r="CN57" s="160"/>
    </row>
    <row r="58" spans="1:92" s="120" customFormat="1">
      <c r="A58" s="345" t="s">
        <v>969</v>
      </c>
      <c r="B58" s="373" t="s">
        <v>69</v>
      </c>
      <c r="C58" s="373" t="s">
        <v>248</v>
      </c>
      <c r="D58" s="121"/>
      <c r="F58" s="120" t="s">
        <v>94</v>
      </c>
      <c r="H58" s="120" t="s">
        <v>30</v>
      </c>
      <c r="I58" s="120" t="s">
        <v>169</v>
      </c>
      <c r="K58" s="120" t="s">
        <v>55</v>
      </c>
      <c r="M58" s="120" t="s">
        <v>733</v>
      </c>
      <c r="O58" s="120">
        <v>2.75E-2</v>
      </c>
      <c r="R58" s="120" t="s">
        <v>28</v>
      </c>
      <c r="S58" s="120" t="s">
        <v>98</v>
      </c>
      <c r="W58" s="120" t="s">
        <v>464</v>
      </c>
      <c r="Z58" s="120" t="s">
        <v>55</v>
      </c>
      <c r="AA58" s="120" t="s">
        <v>121</v>
      </c>
      <c r="AL58" s="120">
        <v>0.01</v>
      </c>
      <c r="AQ58" s="122"/>
      <c r="AU58" s="120" t="s">
        <v>31</v>
      </c>
      <c r="BA58" s="120" t="s">
        <v>40</v>
      </c>
      <c r="BC58" s="120">
        <v>0.03</v>
      </c>
      <c r="BD58" s="120" t="s">
        <v>98</v>
      </c>
      <c r="BM58" s="173"/>
      <c r="BO58" s="120" t="s">
        <v>98</v>
      </c>
      <c r="BP58" s="120" t="s">
        <v>28</v>
      </c>
      <c r="BR58" s="123"/>
      <c r="BT58" s="120">
        <v>0.75</v>
      </c>
      <c r="BY58" s="120" t="s">
        <v>121</v>
      </c>
      <c r="BZ58" s="120" t="s">
        <v>132</v>
      </c>
      <c r="CA58" s="124"/>
      <c r="CC58" s="125"/>
      <c r="CE58" s="121"/>
      <c r="CN58" s="160"/>
    </row>
    <row r="59" spans="1:92" s="120" customFormat="1">
      <c r="A59" s="345" t="s">
        <v>967</v>
      </c>
      <c r="B59" s="373" t="s">
        <v>69</v>
      </c>
      <c r="C59" s="373" t="s">
        <v>248</v>
      </c>
      <c r="D59" s="121"/>
      <c r="AQ59" s="122"/>
      <c r="BM59" s="173"/>
      <c r="BR59" s="123"/>
      <c r="CA59" s="124"/>
      <c r="CC59" s="125"/>
      <c r="CE59" s="121"/>
      <c r="CN59" s="160"/>
    </row>
    <row r="60" spans="1:92" s="126" customFormat="1">
      <c r="A60" s="346" t="s">
        <v>968</v>
      </c>
      <c r="B60" s="374" t="s">
        <v>69</v>
      </c>
      <c r="C60" s="374" t="s">
        <v>248</v>
      </c>
      <c r="D60" s="127"/>
      <c r="AQ60" s="128"/>
      <c r="BM60" s="174"/>
      <c r="BR60" s="129"/>
      <c r="CA60" s="130"/>
      <c r="CC60" s="131"/>
      <c r="CE60" s="127"/>
      <c r="CN60" s="161"/>
    </row>
    <row r="61" spans="1:92" s="7" customFormat="1">
      <c r="A61" s="343" t="s">
        <v>135</v>
      </c>
      <c r="B61" s="371" t="s">
        <v>69</v>
      </c>
      <c r="C61" s="371" t="s">
        <v>1598</v>
      </c>
      <c r="D61" s="116" t="s">
        <v>1599</v>
      </c>
      <c r="E61" s="7" t="s">
        <v>1600</v>
      </c>
      <c r="F61" s="7" t="s">
        <v>1601</v>
      </c>
      <c r="G61" s="7" t="s">
        <v>1600</v>
      </c>
      <c r="H61" s="7" t="s">
        <v>1600</v>
      </c>
      <c r="I61" s="7" t="s">
        <v>1602</v>
      </c>
      <c r="K61" s="7" t="s">
        <v>1601</v>
      </c>
      <c r="L61" s="7" t="s">
        <v>1601</v>
      </c>
      <c r="M61" s="7" t="s">
        <v>1601</v>
      </c>
      <c r="N61" s="7" t="s">
        <v>1601</v>
      </c>
      <c r="O61" s="7" t="s">
        <v>1601</v>
      </c>
      <c r="P61" s="7" t="s">
        <v>1601</v>
      </c>
      <c r="R61" s="7" t="s">
        <v>1601</v>
      </c>
      <c r="S61" s="7" t="s">
        <v>1601</v>
      </c>
      <c r="T61" s="7" t="s">
        <v>1603</v>
      </c>
      <c r="U61" s="7" t="s">
        <v>1601</v>
      </c>
      <c r="V61" s="7" t="s">
        <v>1601</v>
      </c>
      <c r="W61" s="7" t="s">
        <v>1602</v>
      </c>
      <c r="X61" s="7" t="s">
        <v>1601</v>
      </c>
      <c r="Z61" s="7" t="s">
        <v>1600</v>
      </c>
      <c r="AA61" s="7" t="s">
        <v>1601</v>
      </c>
      <c r="AB61" s="7" t="s">
        <v>1604</v>
      </c>
      <c r="AC61" s="7" t="s">
        <v>1602</v>
      </c>
      <c r="AD61" s="7" t="s">
        <v>1601</v>
      </c>
      <c r="AH61" s="7" t="s">
        <v>1601</v>
      </c>
      <c r="AI61" s="7" t="s">
        <v>1601</v>
      </c>
      <c r="AJ61" s="7" t="s">
        <v>1601</v>
      </c>
      <c r="AK61" s="7" t="s">
        <v>1600</v>
      </c>
      <c r="AL61" s="7" t="s">
        <v>1601</v>
      </c>
      <c r="AP61" s="7" t="s">
        <v>1601</v>
      </c>
      <c r="AQ61" s="33"/>
      <c r="AR61" s="7" t="s">
        <v>1601</v>
      </c>
      <c r="AS61" s="7" t="s">
        <v>1601</v>
      </c>
      <c r="AT61" s="7" t="s">
        <v>1600</v>
      </c>
      <c r="AU61" s="7" t="s">
        <v>1601</v>
      </c>
      <c r="AV61" s="7" t="s">
        <v>1601</v>
      </c>
      <c r="AX61" s="7" t="s">
        <v>1602</v>
      </c>
      <c r="AY61" s="7" t="s">
        <v>1601</v>
      </c>
      <c r="BA61" s="7" t="s">
        <v>1601</v>
      </c>
      <c r="BC61" s="7" t="s">
        <v>1601</v>
      </c>
      <c r="BD61" s="7" t="s">
        <v>1601</v>
      </c>
      <c r="BJ61" s="7" t="s">
        <v>1601</v>
      </c>
      <c r="BK61" s="7" t="s">
        <v>1601</v>
      </c>
      <c r="BM61" s="166"/>
      <c r="BN61" s="7" t="s">
        <v>1603</v>
      </c>
      <c r="BO61" s="7" t="s">
        <v>1601</v>
      </c>
      <c r="BP61" s="7" t="s">
        <v>1600</v>
      </c>
      <c r="BQ61" s="7" t="s">
        <v>1605</v>
      </c>
      <c r="BR61" s="117" t="s">
        <v>1601</v>
      </c>
      <c r="BS61" s="7" t="s">
        <v>1600</v>
      </c>
      <c r="BT61" s="7" t="s">
        <v>1600</v>
      </c>
      <c r="BU61" s="7" t="s">
        <v>1600</v>
      </c>
      <c r="BV61" s="7" t="s">
        <v>1601</v>
      </c>
      <c r="BX61" s="7" t="s">
        <v>1601</v>
      </c>
      <c r="BY61" s="7" t="s">
        <v>1601</v>
      </c>
      <c r="BZ61" s="7" t="s">
        <v>1601</v>
      </c>
      <c r="CA61" s="118" t="s">
        <v>1601</v>
      </c>
      <c r="CB61" s="7" t="s">
        <v>1600</v>
      </c>
      <c r="CC61" s="119" t="s">
        <v>1600</v>
      </c>
      <c r="CD61" s="7" t="s">
        <v>1601</v>
      </c>
      <c r="CE61" s="116"/>
      <c r="CN61" s="158"/>
    </row>
    <row r="62" spans="1:92" s="7" customFormat="1">
      <c r="A62" s="343" t="s">
        <v>136</v>
      </c>
      <c r="B62" s="371" t="s">
        <v>69</v>
      </c>
      <c r="C62" s="371" t="s">
        <v>1598</v>
      </c>
      <c r="D62" s="116"/>
      <c r="F62" s="7" t="s">
        <v>1606</v>
      </c>
      <c r="H62" s="7" t="s">
        <v>1603</v>
      </c>
      <c r="I62" s="7" t="s">
        <v>1600</v>
      </c>
      <c r="K62" s="7" t="s">
        <v>1603</v>
      </c>
      <c r="M62" s="7" t="s">
        <v>1602</v>
      </c>
      <c r="O62" s="7" t="s">
        <v>1602</v>
      </c>
      <c r="R62" s="7" t="s">
        <v>1599</v>
      </c>
      <c r="S62" s="7" t="s">
        <v>1600</v>
      </c>
      <c r="W62" s="7" t="s">
        <v>1607</v>
      </c>
      <c r="Z62" s="7" t="s">
        <v>1603</v>
      </c>
      <c r="AA62" s="7" t="s">
        <v>1600</v>
      </c>
      <c r="AK62" s="7" t="s">
        <v>1600</v>
      </c>
      <c r="AL62" s="7" t="s">
        <v>1602</v>
      </c>
      <c r="AQ62" s="33"/>
      <c r="AS62" s="7" t="s">
        <v>1604</v>
      </c>
      <c r="AU62" s="7" t="s">
        <v>1603</v>
      </c>
      <c r="AY62" s="7" t="s">
        <v>1606</v>
      </c>
      <c r="BA62" s="7" t="s">
        <v>1603</v>
      </c>
      <c r="BC62" s="7" t="s">
        <v>1602</v>
      </c>
      <c r="BD62" s="7" t="s">
        <v>1603</v>
      </c>
      <c r="BM62" s="166"/>
      <c r="BO62" s="7" t="s">
        <v>1603</v>
      </c>
      <c r="BP62" s="7" t="s">
        <v>1602</v>
      </c>
      <c r="BR62" s="117"/>
      <c r="BT62" s="7" t="s">
        <v>1605</v>
      </c>
      <c r="BY62" s="7" t="s">
        <v>1600</v>
      </c>
      <c r="BZ62" s="7" t="s">
        <v>1603</v>
      </c>
      <c r="CA62" s="118"/>
      <c r="CC62" s="119"/>
      <c r="CE62" s="116"/>
      <c r="CN62" s="158"/>
    </row>
    <row r="63" spans="1:92" s="7" customFormat="1">
      <c r="A63" s="343" t="s">
        <v>962</v>
      </c>
      <c r="B63" s="371" t="s">
        <v>69</v>
      </c>
      <c r="C63" s="371" t="s">
        <v>1598</v>
      </c>
      <c r="D63" s="116"/>
      <c r="I63" s="7" t="s">
        <v>1698</v>
      </c>
      <c r="AQ63" s="33"/>
      <c r="BM63" s="166"/>
      <c r="BR63" s="117"/>
      <c r="CA63" s="118"/>
      <c r="CC63" s="119"/>
      <c r="CE63" s="116"/>
      <c r="CN63" s="158"/>
    </row>
    <row r="64" spans="1:92" s="7" customFormat="1">
      <c r="A64" s="343" t="s">
        <v>963</v>
      </c>
      <c r="B64" s="371" t="s">
        <v>69</v>
      </c>
      <c r="C64" s="371" t="s">
        <v>1598</v>
      </c>
      <c r="D64" s="116"/>
      <c r="AQ64" s="33"/>
      <c r="BM64" s="166"/>
      <c r="BR64" s="117"/>
      <c r="CA64" s="118"/>
      <c r="CC64" s="119"/>
      <c r="CE64" s="116"/>
      <c r="CN64" s="158"/>
    </row>
    <row r="65" spans="1:92" s="6" customFormat="1">
      <c r="A65" s="342" t="s">
        <v>649</v>
      </c>
      <c r="B65" s="370" t="s">
        <v>69</v>
      </c>
      <c r="C65" s="370" t="s">
        <v>247</v>
      </c>
      <c r="D65" s="29" t="s">
        <v>79</v>
      </c>
      <c r="E65" s="6" t="s">
        <v>79</v>
      </c>
      <c r="F65" s="6" t="s">
        <v>79</v>
      </c>
      <c r="G65" s="6" t="s">
        <v>79</v>
      </c>
      <c r="H65" s="6" t="s">
        <v>79</v>
      </c>
      <c r="I65" s="6" t="s">
        <v>79</v>
      </c>
      <c r="J65" s="6" t="s">
        <v>69</v>
      </c>
      <c r="K65" s="6" t="s">
        <v>79</v>
      </c>
      <c r="L65" s="6" t="s">
        <v>79</v>
      </c>
      <c r="M65" s="6" t="s">
        <v>79</v>
      </c>
      <c r="N65" s="6" t="s">
        <v>79</v>
      </c>
      <c r="O65" s="6" t="s">
        <v>79</v>
      </c>
      <c r="P65" s="6" t="s">
        <v>79</v>
      </c>
      <c r="Q65" s="6" t="s">
        <v>69</v>
      </c>
      <c r="R65" s="6" t="s">
        <v>79</v>
      </c>
      <c r="S65" s="6" t="s">
        <v>79</v>
      </c>
      <c r="T65" s="6" t="s">
        <v>79</v>
      </c>
      <c r="U65" s="6" t="s">
        <v>79</v>
      </c>
      <c r="V65" s="6" t="s">
        <v>79</v>
      </c>
      <c r="W65" s="6" t="s">
        <v>79</v>
      </c>
      <c r="X65" s="6" t="s">
        <v>79</v>
      </c>
      <c r="Y65" s="6" t="s">
        <v>69</v>
      </c>
      <c r="Z65" s="6" t="s">
        <v>79</v>
      </c>
      <c r="AA65" s="6" t="s">
        <v>79</v>
      </c>
      <c r="AB65" s="6" t="s">
        <v>79</v>
      </c>
      <c r="AC65" s="6" t="s">
        <v>729</v>
      </c>
      <c r="AD65" s="6" t="s">
        <v>79</v>
      </c>
      <c r="AE65" s="6" t="s">
        <v>69</v>
      </c>
      <c r="AF65" s="6" t="s">
        <v>69</v>
      </c>
      <c r="AG65" s="6" t="s">
        <v>69</v>
      </c>
      <c r="AH65" s="6" t="s">
        <v>79</v>
      </c>
      <c r="AI65" s="6" t="s">
        <v>79</v>
      </c>
      <c r="AJ65" s="6" t="s">
        <v>79</v>
      </c>
      <c r="AK65" s="6" t="s">
        <v>79</v>
      </c>
      <c r="AL65" s="6" t="s">
        <v>79</v>
      </c>
      <c r="AM65" s="6" t="s">
        <v>69</v>
      </c>
      <c r="AN65" s="6" t="s">
        <v>69</v>
      </c>
      <c r="AO65" s="6" t="s">
        <v>69</v>
      </c>
      <c r="AP65" s="6" t="s">
        <v>79</v>
      </c>
      <c r="AQ65" s="34" t="s">
        <v>69</v>
      </c>
      <c r="AR65" s="6" t="s">
        <v>79</v>
      </c>
      <c r="AS65" s="6" t="s">
        <v>79</v>
      </c>
      <c r="AT65" s="6" t="s">
        <v>79</v>
      </c>
      <c r="AU65" s="6" t="s">
        <v>79</v>
      </c>
      <c r="AV65" s="6" t="s">
        <v>79</v>
      </c>
      <c r="AW65" s="6" t="s">
        <v>69</v>
      </c>
      <c r="AX65" s="6" t="s">
        <v>79</v>
      </c>
      <c r="AY65" s="6" t="s">
        <v>69</v>
      </c>
      <c r="AZ65" s="6" t="s">
        <v>69</v>
      </c>
      <c r="BA65" s="6" t="s">
        <v>79</v>
      </c>
      <c r="BB65" s="6" t="s">
        <v>69</v>
      </c>
      <c r="BC65" s="6" t="s">
        <v>79</v>
      </c>
      <c r="BD65" s="6" t="s">
        <v>79</v>
      </c>
      <c r="BE65" s="6" t="s">
        <v>69</v>
      </c>
      <c r="BF65" s="6" t="s">
        <v>69</v>
      </c>
      <c r="BG65" s="6" t="s">
        <v>69</v>
      </c>
      <c r="BH65" s="6" t="s">
        <v>69</v>
      </c>
      <c r="BI65" s="6" t="s">
        <v>69</v>
      </c>
      <c r="BJ65" s="6" t="s">
        <v>79</v>
      </c>
      <c r="BK65" s="6" t="s">
        <v>79</v>
      </c>
      <c r="BL65" s="6" t="s">
        <v>69</v>
      </c>
      <c r="BM65" s="167" t="s">
        <v>69</v>
      </c>
      <c r="BN65" s="6" t="s">
        <v>79</v>
      </c>
      <c r="BO65" s="6" t="s">
        <v>79</v>
      </c>
      <c r="BP65" s="6" t="s">
        <v>69</v>
      </c>
      <c r="BQ65" s="6" t="s">
        <v>79</v>
      </c>
      <c r="BR65" s="50" t="s">
        <v>79</v>
      </c>
      <c r="BS65" s="6" t="s">
        <v>79</v>
      </c>
      <c r="BT65" s="6" t="s">
        <v>79</v>
      </c>
      <c r="BU65" s="6" t="s">
        <v>79</v>
      </c>
      <c r="BV65" s="6" t="s">
        <v>79</v>
      </c>
      <c r="BW65" s="6" t="s">
        <v>69</v>
      </c>
      <c r="BX65" s="6" t="s">
        <v>79</v>
      </c>
      <c r="BY65" s="6" t="s">
        <v>79</v>
      </c>
      <c r="BZ65" s="6" t="s">
        <v>729</v>
      </c>
      <c r="CA65" s="58" t="s">
        <v>79</v>
      </c>
      <c r="CB65" s="6" t="s">
        <v>79</v>
      </c>
      <c r="CC65" s="67" t="s">
        <v>79</v>
      </c>
      <c r="CD65" s="6" t="s">
        <v>79</v>
      </c>
      <c r="CE65" s="29" t="s">
        <v>69</v>
      </c>
      <c r="CF65" s="6" t="s">
        <v>69</v>
      </c>
      <c r="CG65" s="6" t="s">
        <v>69</v>
      </c>
      <c r="CH65" s="6" t="s">
        <v>69</v>
      </c>
      <c r="CI65" s="6" t="s">
        <v>69</v>
      </c>
      <c r="CJ65" s="6" t="s">
        <v>69</v>
      </c>
      <c r="CK65" s="6" t="s">
        <v>69</v>
      </c>
      <c r="CL65" s="6" t="s">
        <v>69</v>
      </c>
      <c r="CM65" s="6" t="s">
        <v>69</v>
      </c>
      <c r="CN65" s="157"/>
    </row>
    <row r="66" spans="1:92" s="6" customFormat="1">
      <c r="A66" s="342" t="s">
        <v>650</v>
      </c>
      <c r="B66" s="370" t="s">
        <v>69</v>
      </c>
      <c r="C66" s="370" t="s">
        <v>1598</v>
      </c>
      <c r="D66" s="29" t="s">
        <v>1608</v>
      </c>
      <c r="E66" s="6" t="s">
        <v>1609</v>
      </c>
      <c r="F66" s="6" t="s">
        <v>1608</v>
      </c>
      <c r="G66" s="6" t="s">
        <v>1609</v>
      </c>
      <c r="H66" s="6" t="s">
        <v>1609</v>
      </c>
      <c r="I66" s="6" t="s">
        <v>1609</v>
      </c>
      <c r="K66" s="6" t="s">
        <v>1608</v>
      </c>
      <c r="L66" s="6" t="s">
        <v>1608</v>
      </c>
      <c r="M66" s="6" t="s">
        <v>1608</v>
      </c>
      <c r="N66" s="6" t="s">
        <v>1608</v>
      </c>
      <c r="O66" s="6" t="s">
        <v>1608</v>
      </c>
      <c r="P66" s="6" t="s">
        <v>1608</v>
      </c>
      <c r="R66" s="6" t="s">
        <v>1608</v>
      </c>
      <c r="S66" s="6" t="s">
        <v>1608</v>
      </c>
      <c r="T66" s="6" t="s">
        <v>1608</v>
      </c>
      <c r="U66" s="6" t="s">
        <v>1608</v>
      </c>
      <c r="V66" s="6" t="s">
        <v>1608</v>
      </c>
      <c r="W66" s="6" t="s">
        <v>1609</v>
      </c>
      <c r="X66" s="6" t="s">
        <v>1608</v>
      </c>
      <c r="Z66" s="6" t="s">
        <v>1609</v>
      </c>
      <c r="AA66" s="6" t="s">
        <v>1608</v>
      </c>
      <c r="AB66" s="6" t="s">
        <v>1608</v>
      </c>
      <c r="AC66" s="6" t="s">
        <v>1608</v>
      </c>
      <c r="AD66" s="6" t="s">
        <v>1608</v>
      </c>
      <c r="AH66" s="6" t="s">
        <v>1608</v>
      </c>
      <c r="AI66" s="6" t="s">
        <v>1608</v>
      </c>
      <c r="AJ66" s="6" t="s">
        <v>1608</v>
      </c>
      <c r="AK66" s="6" t="s">
        <v>1609</v>
      </c>
      <c r="AL66" s="6" t="s">
        <v>1608</v>
      </c>
      <c r="AP66" s="6" t="s">
        <v>1608</v>
      </c>
      <c r="AQ66" s="34"/>
      <c r="AR66" s="6" t="s">
        <v>1608</v>
      </c>
      <c r="AS66" s="6" t="s">
        <v>1610</v>
      </c>
      <c r="AT66" s="6" t="s">
        <v>1609</v>
      </c>
      <c r="AU66" s="6" t="s">
        <v>1608</v>
      </c>
      <c r="AV66" s="6" t="s">
        <v>1608</v>
      </c>
      <c r="AX66" s="6" t="s">
        <v>1608</v>
      </c>
      <c r="BA66" s="6" t="s">
        <v>1608</v>
      </c>
      <c r="BC66" s="6" t="s">
        <v>1608</v>
      </c>
      <c r="BD66" s="6" t="s">
        <v>1608</v>
      </c>
      <c r="BJ66" s="6" t="s">
        <v>1608</v>
      </c>
      <c r="BK66" s="6" t="s">
        <v>1608</v>
      </c>
      <c r="BM66" s="167"/>
      <c r="BN66" s="6" t="s">
        <v>1608</v>
      </c>
      <c r="BO66" s="6" t="s">
        <v>1608</v>
      </c>
      <c r="BQ66" s="6" t="s">
        <v>1609</v>
      </c>
      <c r="BR66" s="50" t="s">
        <v>1608</v>
      </c>
      <c r="BS66" s="6" t="s">
        <v>1609</v>
      </c>
      <c r="BT66" s="6" t="s">
        <v>1609</v>
      </c>
      <c r="BU66" s="6" t="s">
        <v>1609</v>
      </c>
      <c r="BV66" s="6" t="s">
        <v>1608</v>
      </c>
      <c r="BX66" s="6" t="s">
        <v>1608</v>
      </c>
      <c r="BY66" s="6" t="s">
        <v>1609</v>
      </c>
      <c r="BZ66" s="6" t="s">
        <v>1608</v>
      </c>
      <c r="CA66" s="58" t="s">
        <v>1608</v>
      </c>
      <c r="CB66" s="6" t="s">
        <v>1609</v>
      </c>
      <c r="CC66" s="67" t="s">
        <v>1609</v>
      </c>
      <c r="CD66" s="6" t="s">
        <v>1608</v>
      </c>
      <c r="CE66" s="29"/>
      <c r="CN66" s="157"/>
    </row>
    <row r="67" spans="1:92" s="6" customFormat="1">
      <c r="A67" s="342" t="s">
        <v>651</v>
      </c>
      <c r="B67" s="370" t="s">
        <v>69</v>
      </c>
      <c r="C67" s="370" t="s">
        <v>1598</v>
      </c>
      <c r="D67" s="29" t="s">
        <v>1611</v>
      </c>
      <c r="E67" s="6" t="s">
        <v>1611</v>
      </c>
      <c r="F67" s="6" t="s">
        <v>1612</v>
      </c>
      <c r="G67" s="6" t="s">
        <v>1611</v>
      </c>
      <c r="H67" s="6" t="s">
        <v>1611</v>
      </c>
      <c r="I67" s="6" t="s">
        <v>1612</v>
      </c>
      <c r="K67" s="6" t="s">
        <v>1611</v>
      </c>
      <c r="L67" s="6" t="s">
        <v>1611</v>
      </c>
      <c r="M67" s="6" t="s">
        <v>1612</v>
      </c>
      <c r="N67" s="6" t="s">
        <v>1612</v>
      </c>
      <c r="O67" s="6" t="s">
        <v>1612</v>
      </c>
      <c r="P67" s="6" t="s">
        <v>1612</v>
      </c>
      <c r="R67" s="6" t="s">
        <v>1612</v>
      </c>
      <c r="S67" s="6" t="s">
        <v>1612</v>
      </c>
      <c r="T67" s="6" t="s">
        <v>1611</v>
      </c>
      <c r="U67" s="6" t="s">
        <v>1612</v>
      </c>
      <c r="V67" s="6" t="s">
        <v>1612</v>
      </c>
      <c r="W67" s="6" t="s">
        <v>1611</v>
      </c>
      <c r="X67" s="6" t="s">
        <v>1612</v>
      </c>
      <c r="Z67" s="6" t="s">
        <v>1612</v>
      </c>
      <c r="AA67" s="6" t="s">
        <v>1612</v>
      </c>
      <c r="AB67" s="6" t="s">
        <v>1612</v>
      </c>
      <c r="AC67" s="6" t="s">
        <v>1611</v>
      </c>
      <c r="AD67" s="6" t="s">
        <v>1612</v>
      </c>
      <c r="AH67" s="6" t="s">
        <v>1611</v>
      </c>
      <c r="AI67" s="6" t="s">
        <v>1612</v>
      </c>
      <c r="AJ67" s="6" t="s">
        <v>1611</v>
      </c>
      <c r="AK67" s="6" t="s">
        <v>1612</v>
      </c>
      <c r="AL67" s="6" t="s">
        <v>1612</v>
      </c>
      <c r="AP67" s="6" t="s">
        <v>1612</v>
      </c>
      <c r="AQ67" s="34"/>
      <c r="AR67" s="6" t="s">
        <v>1611</v>
      </c>
      <c r="AS67" s="6" t="s">
        <v>1610</v>
      </c>
      <c r="AT67" s="6" t="s">
        <v>1611</v>
      </c>
      <c r="AU67" s="6" t="s">
        <v>1611</v>
      </c>
      <c r="AV67" s="6" t="s">
        <v>1612</v>
      </c>
      <c r="AX67" s="6" t="s">
        <v>1611</v>
      </c>
      <c r="BA67" s="6" t="s">
        <v>1612</v>
      </c>
      <c r="BC67" s="6" t="s">
        <v>1611</v>
      </c>
      <c r="BD67" s="6" t="s">
        <v>1612</v>
      </c>
      <c r="BJ67" s="6" t="s">
        <v>1612</v>
      </c>
      <c r="BK67" s="6" t="s">
        <v>1612</v>
      </c>
      <c r="BM67" s="167"/>
      <c r="BN67" s="6" t="s">
        <v>1611</v>
      </c>
      <c r="BO67" s="6" t="s">
        <v>1612</v>
      </c>
      <c r="BQ67" s="6" t="s">
        <v>1613</v>
      </c>
      <c r="BR67" s="50" t="s">
        <v>1611</v>
      </c>
      <c r="BS67" s="6" t="s">
        <v>1611</v>
      </c>
      <c r="BT67" s="6" t="s">
        <v>1612</v>
      </c>
      <c r="BU67" s="6" t="s">
        <v>1612</v>
      </c>
      <c r="BV67" s="6" t="s">
        <v>1612</v>
      </c>
      <c r="BX67" s="6" t="s">
        <v>1611</v>
      </c>
      <c r="BY67" s="6" t="s">
        <v>1612</v>
      </c>
      <c r="BZ67" s="6" t="s">
        <v>1611</v>
      </c>
      <c r="CA67" s="58" t="s">
        <v>1611</v>
      </c>
      <c r="CB67" s="6" t="s">
        <v>1611</v>
      </c>
      <c r="CC67" s="67" t="s">
        <v>1611</v>
      </c>
      <c r="CD67" s="6" t="s">
        <v>1611</v>
      </c>
      <c r="CE67" s="29"/>
      <c r="CN67" s="157"/>
    </row>
    <row r="68" spans="1:92" s="6" customFormat="1">
      <c r="A68" s="342" t="s">
        <v>652</v>
      </c>
      <c r="B68" s="370" t="s">
        <v>69</v>
      </c>
      <c r="C68" s="370" t="s">
        <v>1598</v>
      </c>
      <c r="D68" s="29" t="s">
        <v>1614</v>
      </c>
      <c r="E68" s="6" t="s">
        <v>1614</v>
      </c>
      <c r="F68" s="6" t="s">
        <v>1614</v>
      </c>
      <c r="G68" s="6" t="s">
        <v>1614</v>
      </c>
      <c r="H68" s="6" t="s">
        <v>1614</v>
      </c>
      <c r="I68" s="6" t="s">
        <v>1614</v>
      </c>
      <c r="K68" s="6" t="s">
        <v>1614</v>
      </c>
      <c r="L68" s="6" t="s">
        <v>1614</v>
      </c>
      <c r="M68" s="6" t="s">
        <v>1614</v>
      </c>
      <c r="N68" s="6" t="s">
        <v>1614</v>
      </c>
      <c r="O68" s="6" t="s">
        <v>1614</v>
      </c>
      <c r="P68" s="6" t="s">
        <v>1614</v>
      </c>
      <c r="R68" s="6" t="s">
        <v>1614</v>
      </c>
      <c r="S68" s="6" t="s">
        <v>1614</v>
      </c>
      <c r="T68" s="6" t="s">
        <v>1614</v>
      </c>
      <c r="U68" s="6" t="s">
        <v>1614</v>
      </c>
      <c r="V68" s="6" t="s">
        <v>1614</v>
      </c>
      <c r="W68" s="6" t="s">
        <v>1614</v>
      </c>
      <c r="X68" s="6" t="s">
        <v>1614</v>
      </c>
      <c r="Z68" s="6" t="s">
        <v>1614</v>
      </c>
      <c r="AA68" s="6" t="s">
        <v>1614</v>
      </c>
      <c r="AB68" s="6" t="s">
        <v>1614</v>
      </c>
      <c r="AC68" s="6" t="s">
        <v>1614</v>
      </c>
      <c r="AD68" s="6" t="s">
        <v>1614</v>
      </c>
      <c r="AH68" s="6" t="s">
        <v>1614</v>
      </c>
      <c r="AI68" s="6" t="s">
        <v>1614</v>
      </c>
      <c r="AJ68" s="6" t="s">
        <v>1614</v>
      </c>
      <c r="AK68" s="6" t="s">
        <v>1614</v>
      </c>
      <c r="AL68" s="6" t="s">
        <v>1614</v>
      </c>
      <c r="AP68" s="6" t="s">
        <v>1614</v>
      </c>
      <c r="AQ68" s="34"/>
      <c r="AR68" s="6" t="s">
        <v>1614</v>
      </c>
      <c r="AS68" s="6" t="s">
        <v>1614</v>
      </c>
      <c r="AT68" s="6" t="s">
        <v>1614</v>
      </c>
      <c r="AU68" s="6" t="s">
        <v>1614</v>
      </c>
      <c r="AV68" s="6" t="s">
        <v>1614</v>
      </c>
      <c r="AX68" s="6" t="s">
        <v>1614</v>
      </c>
      <c r="BA68" s="6" t="s">
        <v>1614</v>
      </c>
      <c r="BC68" s="6" t="s">
        <v>1614</v>
      </c>
      <c r="BD68" s="6" t="s">
        <v>1614</v>
      </c>
      <c r="BJ68" s="6" t="s">
        <v>1614</v>
      </c>
      <c r="BK68" s="6" t="s">
        <v>1614</v>
      </c>
      <c r="BM68" s="167"/>
      <c r="BN68" s="6" t="s">
        <v>1614</v>
      </c>
      <c r="BO68" s="6" t="s">
        <v>1614</v>
      </c>
      <c r="BQ68" s="6" t="s">
        <v>1615</v>
      </c>
      <c r="BR68" s="50" t="s">
        <v>1614</v>
      </c>
      <c r="BS68" s="6" t="s">
        <v>1614</v>
      </c>
      <c r="BT68" s="6" t="s">
        <v>1615</v>
      </c>
      <c r="BU68" s="6" t="s">
        <v>1614</v>
      </c>
      <c r="BV68" s="6" t="s">
        <v>1614</v>
      </c>
      <c r="BX68" s="6" t="s">
        <v>1614</v>
      </c>
      <c r="BY68" s="6" t="s">
        <v>1614</v>
      </c>
      <c r="BZ68" s="6" t="s">
        <v>1614</v>
      </c>
      <c r="CA68" s="58" t="s">
        <v>1614</v>
      </c>
      <c r="CB68" s="6" t="s">
        <v>1614</v>
      </c>
      <c r="CC68" s="67" t="s">
        <v>1614</v>
      </c>
      <c r="CD68" s="6" t="s">
        <v>1614</v>
      </c>
      <c r="CE68" s="29"/>
      <c r="CN68" s="157"/>
    </row>
    <row r="69" spans="1:92" s="6" customFormat="1">
      <c r="A69" s="342" t="s">
        <v>653</v>
      </c>
      <c r="B69" s="370" t="s">
        <v>69</v>
      </c>
      <c r="C69" s="370" t="s">
        <v>1598</v>
      </c>
      <c r="D69" s="29" t="s">
        <v>1616</v>
      </c>
      <c r="E69" s="6" t="s">
        <v>1616</v>
      </c>
      <c r="F69" s="6" t="s">
        <v>1616</v>
      </c>
      <c r="G69" s="6" t="s">
        <v>1616</v>
      </c>
      <c r="H69" s="6" t="s">
        <v>1616</v>
      </c>
      <c r="I69" s="6" t="s">
        <v>1616</v>
      </c>
      <c r="K69" s="6" t="s">
        <v>1616</v>
      </c>
      <c r="L69" s="6" t="s">
        <v>1616</v>
      </c>
      <c r="M69" s="6" t="s">
        <v>1616</v>
      </c>
      <c r="N69" s="6" t="s">
        <v>1616</v>
      </c>
      <c r="O69" s="6" t="s">
        <v>1616</v>
      </c>
      <c r="P69" s="6" t="s">
        <v>1616</v>
      </c>
      <c r="R69" s="6" t="s">
        <v>1616</v>
      </c>
      <c r="S69" s="6" t="s">
        <v>1616</v>
      </c>
      <c r="T69" s="6" t="s">
        <v>1616</v>
      </c>
      <c r="U69" s="6" t="s">
        <v>1616</v>
      </c>
      <c r="V69" s="6" t="s">
        <v>1616</v>
      </c>
      <c r="W69" s="6" t="s">
        <v>1616</v>
      </c>
      <c r="X69" s="6" t="s">
        <v>1616</v>
      </c>
      <c r="Z69" s="6" t="s">
        <v>1616</v>
      </c>
      <c r="AA69" s="6" t="s">
        <v>1616</v>
      </c>
      <c r="AB69" s="6" t="s">
        <v>1616</v>
      </c>
      <c r="AC69" s="6" t="s">
        <v>1616</v>
      </c>
      <c r="AD69" s="6" t="s">
        <v>1616</v>
      </c>
      <c r="AH69" s="6" t="s">
        <v>1616</v>
      </c>
      <c r="AI69" s="6" t="s">
        <v>1616</v>
      </c>
      <c r="AJ69" s="6" t="s">
        <v>1616</v>
      </c>
      <c r="AK69" s="6" t="s">
        <v>1616</v>
      </c>
      <c r="AL69" s="6" t="s">
        <v>1616</v>
      </c>
      <c r="AP69" s="6" t="s">
        <v>1616</v>
      </c>
      <c r="AQ69" s="34"/>
      <c r="AR69" s="6" t="s">
        <v>1616</v>
      </c>
      <c r="AS69" s="6" t="s">
        <v>1616</v>
      </c>
      <c r="AT69" s="6" t="s">
        <v>1616</v>
      </c>
      <c r="AU69" s="6" t="s">
        <v>1616</v>
      </c>
      <c r="AV69" s="6" t="s">
        <v>1616</v>
      </c>
      <c r="AX69" s="6" t="s">
        <v>1616</v>
      </c>
      <c r="BA69" s="6" t="s">
        <v>1616</v>
      </c>
      <c r="BC69" s="6" t="s">
        <v>1616</v>
      </c>
      <c r="BD69" s="6" t="s">
        <v>1616</v>
      </c>
      <c r="BJ69" s="6" t="s">
        <v>1616</v>
      </c>
      <c r="BK69" s="6" t="s">
        <v>1616</v>
      </c>
      <c r="BM69" s="167"/>
      <c r="BN69" s="6" t="s">
        <v>1616</v>
      </c>
      <c r="BO69" s="6" t="s">
        <v>1616</v>
      </c>
      <c r="BQ69" s="6" t="s">
        <v>1616</v>
      </c>
      <c r="BR69" s="50" t="s">
        <v>1616</v>
      </c>
      <c r="BS69" s="6" t="s">
        <v>1616</v>
      </c>
      <c r="BT69" s="6" t="s">
        <v>1617</v>
      </c>
      <c r="BU69" s="6" t="s">
        <v>1616</v>
      </c>
      <c r="BV69" s="6" t="s">
        <v>1616</v>
      </c>
      <c r="BX69" s="6" t="s">
        <v>1616</v>
      </c>
      <c r="BY69" s="6" t="s">
        <v>1616</v>
      </c>
      <c r="BZ69" s="6" t="s">
        <v>1616</v>
      </c>
      <c r="CA69" s="58" t="s">
        <v>1616</v>
      </c>
      <c r="CB69" s="6" t="s">
        <v>1616</v>
      </c>
      <c r="CC69" s="67" t="s">
        <v>1616</v>
      </c>
      <c r="CD69" s="6" t="s">
        <v>1616</v>
      </c>
      <c r="CE69" s="29"/>
      <c r="CN69" s="157"/>
    </row>
    <row r="70" spans="1:92" s="6" customFormat="1">
      <c r="A70" s="342" t="s">
        <v>654</v>
      </c>
      <c r="B70" s="370" t="s">
        <v>69</v>
      </c>
      <c r="C70" s="370" t="s">
        <v>1598</v>
      </c>
      <c r="D70" s="29" t="s">
        <v>1618</v>
      </c>
      <c r="E70" s="6" t="s">
        <v>1618</v>
      </c>
      <c r="F70" s="6" t="s">
        <v>1619</v>
      </c>
      <c r="G70" s="6" t="s">
        <v>1618</v>
      </c>
      <c r="H70" s="6" t="s">
        <v>1619</v>
      </c>
      <c r="I70" s="6" t="s">
        <v>1619</v>
      </c>
      <c r="K70" s="6" t="s">
        <v>1618</v>
      </c>
      <c r="L70" s="6" t="s">
        <v>1618</v>
      </c>
      <c r="M70" s="6" t="s">
        <v>1619</v>
      </c>
      <c r="N70" s="6" t="s">
        <v>1619</v>
      </c>
      <c r="O70" s="6" t="s">
        <v>1619</v>
      </c>
      <c r="P70" s="6" t="s">
        <v>1619</v>
      </c>
      <c r="R70" s="6" t="s">
        <v>1619</v>
      </c>
      <c r="S70" s="6" t="s">
        <v>1619</v>
      </c>
      <c r="T70" s="6" t="s">
        <v>1618</v>
      </c>
      <c r="U70" s="6" t="s">
        <v>1619</v>
      </c>
      <c r="V70" s="6" t="s">
        <v>1619</v>
      </c>
      <c r="W70" s="6" t="s">
        <v>1618</v>
      </c>
      <c r="X70" s="6" t="s">
        <v>1619</v>
      </c>
      <c r="Z70" s="6" t="s">
        <v>1619</v>
      </c>
      <c r="AA70" s="6" t="s">
        <v>1619</v>
      </c>
      <c r="AB70" s="6" t="s">
        <v>1619</v>
      </c>
      <c r="AC70" s="6" t="s">
        <v>1618</v>
      </c>
      <c r="AD70" s="6" t="s">
        <v>1619</v>
      </c>
      <c r="AH70" s="6" t="s">
        <v>1619</v>
      </c>
      <c r="AI70" s="6" t="s">
        <v>1619</v>
      </c>
      <c r="AJ70" s="6" t="s">
        <v>1619</v>
      </c>
      <c r="AK70" s="6" t="s">
        <v>1619</v>
      </c>
      <c r="AL70" s="6" t="s">
        <v>1619</v>
      </c>
      <c r="AP70" s="6" t="s">
        <v>1619</v>
      </c>
      <c r="AQ70" s="34"/>
      <c r="AR70" s="6" t="s">
        <v>1618</v>
      </c>
      <c r="AS70" s="6" t="s">
        <v>1619</v>
      </c>
      <c r="AT70" s="6" t="s">
        <v>1618</v>
      </c>
      <c r="AU70" s="6" t="s">
        <v>1618</v>
      </c>
      <c r="AV70" s="6" t="s">
        <v>1619</v>
      </c>
      <c r="AX70" s="6" t="s">
        <v>1618</v>
      </c>
      <c r="BA70" s="6" t="s">
        <v>1619</v>
      </c>
      <c r="BC70" s="6" t="s">
        <v>1618</v>
      </c>
      <c r="BD70" s="6" t="s">
        <v>1619</v>
      </c>
      <c r="BJ70" s="6" t="s">
        <v>1619</v>
      </c>
      <c r="BK70" s="6" t="s">
        <v>1619</v>
      </c>
      <c r="BM70" s="167"/>
      <c r="BN70" s="6" t="s">
        <v>1618</v>
      </c>
      <c r="BO70" s="6" t="s">
        <v>1619</v>
      </c>
      <c r="BQ70" s="6" t="s">
        <v>1618</v>
      </c>
      <c r="BR70" s="50" t="s">
        <v>1618</v>
      </c>
      <c r="BS70" s="6" t="s">
        <v>1618</v>
      </c>
      <c r="BT70" s="6" t="s">
        <v>1619</v>
      </c>
      <c r="BU70" s="6" t="s">
        <v>1619</v>
      </c>
      <c r="BV70" s="6" t="s">
        <v>1619</v>
      </c>
      <c r="BX70" s="6" t="s">
        <v>1618</v>
      </c>
      <c r="BY70" s="6" t="s">
        <v>1619</v>
      </c>
      <c r="BZ70" s="6" t="s">
        <v>1618</v>
      </c>
      <c r="CA70" s="58" t="s">
        <v>1618</v>
      </c>
      <c r="CB70" s="6" t="s">
        <v>1618</v>
      </c>
      <c r="CC70" s="67" t="s">
        <v>1618</v>
      </c>
      <c r="CD70" s="6" t="s">
        <v>1618</v>
      </c>
      <c r="CE70" s="29"/>
      <c r="CN70" s="157"/>
    </row>
    <row r="71" spans="1:92" s="6" customFormat="1">
      <c r="A71" s="342" t="s">
        <v>655</v>
      </c>
      <c r="B71" s="370" t="s">
        <v>69</v>
      </c>
      <c r="C71" s="370" t="s">
        <v>1598</v>
      </c>
      <c r="D71" s="29" t="s">
        <v>1620</v>
      </c>
      <c r="E71" s="6" t="s">
        <v>1621</v>
      </c>
      <c r="F71" s="6" t="s">
        <v>1621</v>
      </c>
      <c r="G71" s="6" t="s">
        <v>1620</v>
      </c>
      <c r="H71" s="6" t="s">
        <v>1621</v>
      </c>
      <c r="I71" s="6" t="s">
        <v>1621</v>
      </c>
      <c r="K71" s="6" t="s">
        <v>1620</v>
      </c>
      <c r="L71" s="6" t="s">
        <v>1621</v>
      </c>
      <c r="M71" s="6" t="s">
        <v>1621</v>
      </c>
      <c r="N71" s="6" t="s">
        <v>1621</v>
      </c>
      <c r="O71" s="6" t="s">
        <v>1621</v>
      </c>
      <c r="P71" s="6" t="s">
        <v>1621</v>
      </c>
      <c r="R71" s="6" t="s">
        <v>1621</v>
      </c>
      <c r="S71" s="6" t="s">
        <v>1621</v>
      </c>
      <c r="T71" s="6" t="s">
        <v>1621</v>
      </c>
      <c r="U71" s="6" t="s">
        <v>1621</v>
      </c>
      <c r="V71" s="6" t="s">
        <v>1621</v>
      </c>
      <c r="W71" s="6" t="s">
        <v>1620</v>
      </c>
      <c r="X71" s="6" t="s">
        <v>1621</v>
      </c>
      <c r="Z71" s="6" t="s">
        <v>1621</v>
      </c>
      <c r="AA71" s="6" t="s">
        <v>1621</v>
      </c>
      <c r="AB71" s="6" t="s">
        <v>1621</v>
      </c>
      <c r="AC71" s="6" t="s">
        <v>1620</v>
      </c>
      <c r="AD71" s="6" t="s">
        <v>1621</v>
      </c>
      <c r="AH71" s="6" t="s">
        <v>1621</v>
      </c>
      <c r="AI71" s="6" t="s">
        <v>1621</v>
      </c>
      <c r="AJ71" s="6" t="s">
        <v>1621</v>
      </c>
      <c r="AK71" s="6" t="s">
        <v>1621</v>
      </c>
      <c r="AL71" s="6" t="s">
        <v>1621</v>
      </c>
      <c r="AP71" s="6" t="s">
        <v>1621</v>
      </c>
      <c r="AQ71" s="34"/>
      <c r="AR71" s="6" t="s">
        <v>1620</v>
      </c>
      <c r="AS71" s="6" t="s">
        <v>1621</v>
      </c>
      <c r="AT71" s="6" t="s">
        <v>1620</v>
      </c>
      <c r="AU71" s="6" t="s">
        <v>1621</v>
      </c>
      <c r="AV71" s="6" t="s">
        <v>1621</v>
      </c>
      <c r="AX71" s="6" t="s">
        <v>1620</v>
      </c>
      <c r="BA71" s="6" t="s">
        <v>1621</v>
      </c>
      <c r="BC71" s="6" t="s">
        <v>1620</v>
      </c>
      <c r="BD71" s="6" t="s">
        <v>1621</v>
      </c>
      <c r="BJ71" s="6" t="s">
        <v>1621</v>
      </c>
      <c r="BK71" s="6" t="s">
        <v>1621</v>
      </c>
      <c r="BM71" s="167"/>
      <c r="BN71" s="6" t="s">
        <v>1621</v>
      </c>
      <c r="BO71" s="6" t="s">
        <v>1621</v>
      </c>
      <c r="BQ71" s="6" t="s">
        <v>1620</v>
      </c>
      <c r="BR71" s="50" t="s">
        <v>1621</v>
      </c>
      <c r="BS71" s="6" t="s">
        <v>1620</v>
      </c>
      <c r="BT71" s="6" t="s">
        <v>1621</v>
      </c>
      <c r="BU71" s="6" t="s">
        <v>1621</v>
      </c>
      <c r="BV71" s="6" t="s">
        <v>1621</v>
      </c>
      <c r="BX71" s="6" t="s">
        <v>1621</v>
      </c>
      <c r="BY71" s="6" t="s">
        <v>1620</v>
      </c>
      <c r="BZ71" s="6" t="s">
        <v>1620</v>
      </c>
      <c r="CA71" s="58" t="s">
        <v>1621</v>
      </c>
      <c r="CB71" s="6" t="s">
        <v>1620</v>
      </c>
      <c r="CC71" s="67" t="s">
        <v>1620</v>
      </c>
      <c r="CD71" s="6" t="s">
        <v>1620</v>
      </c>
      <c r="CE71" s="29"/>
      <c r="CN71" s="157"/>
    </row>
    <row r="72" spans="1:92" s="6" customFormat="1">
      <c r="A72" s="342" t="s">
        <v>656</v>
      </c>
      <c r="B72" s="370" t="s">
        <v>69</v>
      </c>
      <c r="C72" s="370" t="s">
        <v>1598</v>
      </c>
      <c r="D72" s="29" t="s">
        <v>1622</v>
      </c>
      <c r="E72" s="6" t="s">
        <v>1622</v>
      </c>
      <c r="F72" s="6" t="s">
        <v>1622</v>
      </c>
      <c r="G72" s="6" t="s">
        <v>1622</v>
      </c>
      <c r="H72" s="6" t="s">
        <v>1622</v>
      </c>
      <c r="I72" s="6" t="s">
        <v>1622</v>
      </c>
      <c r="K72" s="6" t="s">
        <v>1622</v>
      </c>
      <c r="L72" s="6" t="s">
        <v>1622</v>
      </c>
      <c r="M72" s="6" t="s">
        <v>1622</v>
      </c>
      <c r="N72" s="6" t="s">
        <v>1622</v>
      </c>
      <c r="O72" s="6" t="s">
        <v>1622</v>
      </c>
      <c r="P72" s="6" t="s">
        <v>1622</v>
      </c>
      <c r="R72" s="6" t="s">
        <v>1622</v>
      </c>
      <c r="S72" s="6" t="s">
        <v>1622</v>
      </c>
      <c r="T72" s="6" t="s">
        <v>1622</v>
      </c>
      <c r="U72" s="6" t="s">
        <v>1622</v>
      </c>
      <c r="V72" s="6" t="s">
        <v>1622</v>
      </c>
      <c r="W72" s="6" t="s">
        <v>1622</v>
      </c>
      <c r="X72" s="6" t="s">
        <v>1622</v>
      </c>
      <c r="Z72" s="6" t="s">
        <v>1622</v>
      </c>
      <c r="AA72" s="6" t="s">
        <v>1622</v>
      </c>
      <c r="AB72" s="6" t="s">
        <v>1622</v>
      </c>
      <c r="AC72" s="6" t="s">
        <v>1622</v>
      </c>
      <c r="AD72" s="6" t="s">
        <v>1622</v>
      </c>
      <c r="AH72" s="6" t="s">
        <v>1622</v>
      </c>
      <c r="AI72" s="6" t="s">
        <v>1622</v>
      </c>
      <c r="AJ72" s="6" t="s">
        <v>1622</v>
      </c>
      <c r="AK72" s="6" t="s">
        <v>1622</v>
      </c>
      <c r="AL72" s="6" t="s">
        <v>1622</v>
      </c>
      <c r="AP72" s="6" t="s">
        <v>1622</v>
      </c>
      <c r="AQ72" s="34"/>
      <c r="AR72" s="6" t="s">
        <v>1622</v>
      </c>
      <c r="AS72" s="6" t="s">
        <v>1622</v>
      </c>
      <c r="AT72" s="6" t="s">
        <v>1622</v>
      </c>
      <c r="AU72" s="6" t="s">
        <v>1622</v>
      </c>
      <c r="AV72" s="6" t="s">
        <v>1622</v>
      </c>
      <c r="AX72" s="6" t="s">
        <v>1622</v>
      </c>
      <c r="BA72" s="6" t="s">
        <v>1622</v>
      </c>
      <c r="BC72" s="6" t="s">
        <v>1622</v>
      </c>
      <c r="BD72" s="6" t="s">
        <v>1622</v>
      </c>
      <c r="BJ72" s="6" t="s">
        <v>1622</v>
      </c>
      <c r="BK72" s="6" t="s">
        <v>1622</v>
      </c>
      <c r="BM72" s="167"/>
      <c r="BN72" s="6" t="s">
        <v>1622</v>
      </c>
      <c r="BO72" s="6" t="s">
        <v>1622</v>
      </c>
      <c r="BQ72" s="6" t="s">
        <v>1623</v>
      </c>
      <c r="BR72" s="50" t="s">
        <v>1622</v>
      </c>
      <c r="BS72" s="6" t="s">
        <v>1622</v>
      </c>
      <c r="BT72" s="6" t="s">
        <v>1622</v>
      </c>
      <c r="BU72" s="6" t="s">
        <v>1622</v>
      </c>
      <c r="BV72" s="6" t="s">
        <v>1622</v>
      </c>
      <c r="BX72" s="6" t="s">
        <v>1622</v>
      </c>
      <c r="BY72" s="6" t="s">
        <v>1622</v>
      </c>
      <c r="BZ72" s="6" t="s">
        <v>1622</v>
      </c>
      <c r="CA72" s="58" t="s">
        <v>1622</v>
      </c>
      <c r="CB72" s="6" t="s">
        <v>1622</v>
      </c>
      <c r="CC72" s="67" t="s">
        <v>1622</v>
      </c>
      <c r="CD72" s="6" t="s">
        <v>1622</v>
      </c>
      <c r="CE72" s="29"/>
      <c r="CN72" s="157"/>
    </row>
    <row r="73" spans="1:92" s="6" customFormat="1">
      <c r="A73" s="342" t="s">
        <v>657</v>
      </c>
      <c r="B73" s="370" t="s">
        <v>69</v>
      </c>
      <c r="C73" s="370" t="s">
        <v>1598</v>
      </c>
      <c r="D73" s="29" t="s">
        <v>1624</v>
      </c>
      <c r="E73" s="6" t="s">
        <v>1625</v>
      </c>
      <c r="F73" s="6" t="s">
        <v>1625</v>
      </c>
      <c r="G73" s="6" t="s">
        <v>1625</v>
      </c>
      <c r="H73" s="6" t="s">
        <v>1625</v>
      </c>
      <c r="I73" s="6" t="s">
        <v>1625</v>
      </c>
      <c r="K73" s="6" t="s">
        <v>1624</v>
      </c>
      <c r="L73" s="6" t="s">
        <v>1625</v>
      </c>
      <c r="M73" s="6" t="s">
        <v>1624</v>
      </c>
      <c r="N73" s="6" t="s">
        <v>1624</v>
      </c>
      <c r="O73" s="6" t="s">
        <v>1624</v>
      </c>
      <c r="P73" s="6" t="s">
        <v>1625</v>
      </c>
      <c r="R73" s="6" t="s">
        <v>1624</v>
      </c>
      <c r="S73" s="6" t="s">
        <v>1624</v>
      </c>
      <c r="T73" s="6" t="s">
        <v>1625</v>
      </c>
      <c r="U73" s="6" t="s">
        <v>1625</v>
      </c>
      <c r="V73" s="6" t="s">
        <v>1625</v>
      </c>
      <c r="W73" s="6" t="s">
        <v>1625</v>
      </c>
      <c r="X73" s="6" t="s">
        <v>1625</v>
      </c>
      <c r="Z73" s="6" t="s">
        <v>1625</v>
      </c>
      <c r="AA73" s="6" t="s">
        <v>1624</v>
      </c>
      <c r="AB73" s="6" t="s">
        <v>1625</v>
      </c>
      <c r="AC73" s="6" t="s">
        <v>1624</v>
      </c>
      <c r="AD73" s="6" t="s">
        <v>1624</v>
      </c>
      <c r="AH73" s="6" t="s">
        <v>1624</v>
      </c>
      <c r="AI73" s="6" t="s">
        <v>1625</v>
      </c>
      <c r="AJ73" s="6" t="s">
        <v>1624</v>
      </c>
      <c r="AK73" s="6" t="s">
        <v>1625</v>
      </c>
      <c r="AL73" s="6" t="s">
        <v>1624</v>
      </c>
      <c r="AP73" s="6" t="s">
        <v>1624</v>
      </c>
      <c r="AQ73" s="34"/>
      <c r="AR73" s="6" t="s">
        <v>1624</v>
      </c>
      <c r="AS73" s="6" t="s">
        <v>1625</v>
      </c>
      <c r="AT73" s="6" t="s">
        <v>1625</v>
      </c>
      <c r="AU73" s="6" t="s">
        <v>1625</v>
      </c>
      <c r="AV73" s="6" t="s">
        <v>1624</v>
      </c>
      <c r="AX73" s="6" t="s">
        <v>1624</v>
      </c>
      <c r="BA73" s="6" t="s">
        <v>1624</v>
      </c>
      <c r="BC73" s="6" t="s">
        <v>1624</v>
      </c>
      <c r="BD73" s="6" t="s">
        <v>1624</v>
      </c>
      <c r="BJ73" s="6" t="s">
        <v>1625</v>
      </c>
      <c r="BK73" s="6" t="s">
        <v>1625</v>
      </c>
      <c r="BM73" s="167"/>
      <c r="BN73" s="6" t="s">
        <v>1625</v>
      </c>
      <c r="BO73" s="6" t="s">
        <v>1625</v>
      </c>
      <c r="BQ73" s="6" t="s">
        <v>1625</v>
      </c>
      <c r="BR73" s="50" t="s">
        <v>1625</v>
      </c>
      <c r="BS73" s="6" t="s">
        <v>1625</v>
      </c>
      <c r="BT73" s="6" t="s">
        <v>1625</v>
      </c>
      <c r="BU73" s="6" t="s">
        <v>1625</v>
      </c>
      <c r="BV73" s="6" t="s">
        <v>1625</v>
      </c>
      <c r="BX73" s="6" t="s">
        <v>1625</v>
      </c>
      <c r="BY73" s="6" t="s">
        <v>1624</v>
      </c>
      <c r="BZ73" s="6" t="s">
        <v>1624</v>
      </c>
      <c r="CA73" s="58" t="s">
        <v>1625</v>
      </c>
      <c r="CB73" s="6" t="s">
        <v>1625</v>
      </c>
      <c r="CC73" s="67" t="s">
        <v>1625</v>
      </c>
      <c r="CD73" s="6" t="s">
        <v>1625</v>
      </c>
      <c r="CE73" s="29"/>
      <c r="CN73" s="157"/>
    </row>
    <row r="74" spans="1:92" s="17" customFormat="1">
      <c r="A74" s="347" t="s">
        <v>214</v>
      </c>
      <c r="B74" s="375" t="s">
        <v>69</v>
      </c>
      <c r="C74" s="375" t="s">
        <v>1598</v>
      </c>
      <c r="D74" s="31" t="s">
        <v>1599</v>
      </c>
      <c r="E74" s="17" t="s">
        <v>1600</v>
      </c>
      <c r="F74" s="17" t="s">
        <v>1603</v>
      </c>
      <c r="G74" s="17" t="s">
        <v>1600</v>
      </c>
      <c r="H74" s="17" t="s">
        <v>1600</v>
      </c>
      <c r="I74" s="17" t="s">
        <v>1600</v>
      </c>
      <c r="J74" s="17" t="s">
        <v>1626</v>
      </c>
      <c r="K74" s="17" t="s">
        <v>1601</v>
      </c>
      <c r="L74" s="17" t="s">
        <v>1601</v>
      </c>
      <c r="M74" s="17" t="s">
        <v>1601</v>
      </c>
      <c r="N74" s="17" t="s">
        <v>1601</v>
      </c>
      <c r="O74" s="17" t="s">
        <v>1601</v>
      </c>
      <c r="P74" s="17" t="s">
        <v>1601</v>
      </c>
      <c r="Q74" s="17" t="s">
        <v>1601</v>
      </c>
      <c r="R74" s="17" t="s">
        <v>1601</v>
      </c>
      <c r="S74" s="17" t="s">
        <v>1601</v>
      </c>
      <c r="T74" s="17" t="s">
        <v>1603</v>
      </c>
      <c r="U74" s="17" t="s">
        <v>1601</v>
      </c>
      <c r="V74" s="17" t="s">
        <v>1601</v>
      </c>
      <c r="W74" s="17" t="s">
        <v>1602</v>
      </c>
      <c r="X74" s="17" t="s">
        <v>1601</v>
      </c>
      <c r="Y74" s="17" t="s">
        <v>1605</v>
      </c>
      <c r="Z74" s="17" t="s">
        <v>1600</v>
      </c>
      <c r="AA74" s="17" t="s">
        <v>1601</v>
      </c>
      <c r="AB74" s="17" t="s">
        <v>1604</v>
      </c>
      <c r="AC74" s="17" t="s">
        <v>1602</v>
      </c>
      <c r="AD74" s="17" t="s">
        <v>1601</v>
      </c>
      <c r="AE74" s="17" t="s">
        <v>1601</v>
      </c>
      <c r="AF74" s="17" t="s">
        <v>1603</v>
      </c>
      <c r="AG74" s="17" t="s">
        <v>1605</v>
      </c>
      <c r="AH74" s="17" t="s">
        <v>1601</v>
      </c>
      <c r="AI74" s="17" t="s">
        <v>1601</v>
      </c>
      <c r="AJ74" s="17" t="s">
        <v>1601</v>
      </c>
      <c r="AK74" s="17" t="s">
        <v>1600</v>
      </c>
      <c r="AL74" s="17" t="s">
        <v>1601</v>
      </c>
      <c r="AM74" s="17" t="s">
        <v>1605</v>
      </c>
      <c r="AN74" s="17" t="s">
        <v>1605</v>
      </c>
      <c r="AO74" s="17" t="s">
        <v>1604</v>
      </c>
      <c r="AP74" s="17" t="s">
        <v>1601</v>
      </c>
      <c r="AQ74" s="41" t="s">
        <v>1601</v>
      </c>
      <c r="AR74" s="17" t="s">
        <v>1601</v>
      </c>
      <c r="AS74" s="17" t="s">
        <v>1601</v>
      </c>
      <c r="AT74" s="17" t="s">
        <v>1600</v>
      </c>
      <c r="AU74" s="17" t="s">
        <v>1601</v>
      </c>
      <c r="AV74" s="17" t="s">
        <v>1601</v>
      </c>
      <c r="AW74" s="17" t="s">
        <v>1605</v>
      </c>
      <c r="AX74" s="17" t="s">
        <v>1602</v>
      </c>
      <c r="AY74" s="17" t="s">
        <v>1601</v>
      </c>
      <c r="AZ74" s="17" t="s">
        <v>1627</v>
      </c>
      <c r="BA74" s="17" t="s">
        <v>1601</v>
      </c>
      <c r="BB74" s="17" t="s">
        <v>1603</v>
      </c>
      <c r="BC74" s="17" t="s">
        <v>1601</v>
      </c>
      <c r="BD74" s="17" t="s">
        <v>1601</v>
      </c>
      <c r="BE74" s="17" t="s">
        <v>1601</v>
      </c>
      <c r="BF74" s="17" t="s">
        <v>1602</v>
      </c>
      <c r="BG74" s="17" t="s">
        <v>1628</v>
      </c>
      <c r="BH74" s="17" t="s">
        <v>1600</v>
      </c>
      <c r="BI74" s="17" t="s">
        <v>1602</v>
      </c>
      <c r="BJ74" s="17" t="s">
        <v>1601</v>
      </c>
      <c r="BK74" s="17" t="s">
        <v>1601</v>
      </c>
      <c r="BL74" s="17" t="s">
        <v>1599</v>
      </c>
      <c r="BM74" s="175" t="s">
        <v>1601</v>
      </c>
      <c r="BN74" s="17" t="s">
        <v>1603</v>
      </c>
      <c r="BO74" s="17" t="s">
        <v>1603</v>
      </c>
      <c r="BP74" s="17" t="s">
        <v>1602</v>
      </c>
      <c r="BQ74" s="17" t="s">
        <v>1605</v>
      </c>
      <c r="BR74" s="51" t="s">
        <v>1601</v>
      </c>
      <c r="BS74" s="17" t="s">
        <v>1600</v>
      </c>
      <c r="BT74" s="17" t="s">
        <v>1600</v>
      </c>
      <c r="BU74" s="17" t="s">
        <v>1600</v>
      </c>
      <c r="BV74" s="17" t="s">
        <v>1601</v>
      </c>
      <c r="BW74" s="17" t="s">
        <v>1602</v>
      </c>
      <c r="BX74" s="17" t="s">
        <v>1601</v>
      </c>
      <c r="BY74" s="17" t="s">
        <v>1601</v>
      </c>
      <c r="BZ74" s="17" t="s">
        <v>1601</v>
      </c>
      <c r="CA74" s="60" t="s">
        <v>1601</v>
      </c>
      <c r="CB74" s="17" t="s">
        <v>1600</v>
      </c>
      <c r="CC74" s="69" t="s">
        <v>1600</v>
      </c>
      <c r="CD74" s="17" t="s">
        <v>1601</v>
      </c>
      <c r="CE74" s="31" t="s">
        <v>1604</v>
      </c>
      <c r="CF74" s="17" t="s">
        <v>1603</v>
      </c>
      <c r="CG74" s="17" t="s">
        <v>1601</v>
      </c>
      <c r="CH74" s="17" t="s">
        <v>1602</v>
      </c>
      <c r="CI74" s="17" t="s">
        <v>1629</v>
      </c>
      <c r="CJ74" s="17" t="s">
        <v>1599</v>
      </c>
      <c r="CK74" s="17" t="s">
        <v>1605</v>
      </c>
      <c r="CL74" s="17" t="s">
        <v>1626</v>
      </c>
      <c r="CM74" s="17" t="s">
        <v>1600</v>
      </c>
      <c r="CN74" s="162"/>
    </row>
    <row r="75" spans="1:92" s="17" customFormat="1">
      <c r="A75" s="347" t="s">
        <v>215</v>
      </c>
      <c r="B75" s="375" t="s">
        <v>69</v>
      </c>
      <c r="C75" s="375" t="s">
        <v>1598</v>
      </c>
      <c r="D75" s="31" t="s">
        <v>1630</v>
      </c>
      <c r="E75" s="17" t="s">
        <v>1631</v>
      </c>
      <c r="F75" s="17" t="s">
        <v>1630</v>
      </c>
      <c r="G75" s="17" t="s">
        <v>1629</v>
      </c>
      <c r="H75" s="17" t="s">
        <v>1603</v>
      </c>
      <c r="I75" s="17" t="s">
        <v>1602</v>
      </c>
      <c r="J75" s="17" t="s">
        <v>1603</v>
      </c>
      <c r="K75" s="17" t="s">
        <v>1603</v>
      </c>
      <c r="L75" s="17" t="s">
        <v>1603</v>
      </c>
      <c r="M75" s="17" t="s">
        <v>1602</v>
      </c>
      <c r="N75" s="17" t="s">
        <v>1630</v>
      </c>
      <c r="O75" s="17" t="s">
        <v>1602</v>
      </c>
      <c r="P75" s="17" t="s">
        <v>1630</v>
      </c>
      <c r="Q75" s="17" t="s">
        <v>1605</v>
      </c>
      <c r="R75" s="17" t="s">
        <v>1630</v>
      </c>
      <c r="S75" s="17" t="s">
        <v>1600</v>
      </c>
      <c r="T75" s="17" t="s">
        <v>1626</v>
      </c>
      <c r="U75" s="17" t="s">
        <v>1630</v>
      </c>
      <c r="V75" s="17" t="s">
        <v>1603</v>
      </c>
      <c r="W75" s="17" t="s">
        <v>1605</v>
      </c>
      <c r="X75" s="17" t="s">
        <v>1603</v>
      </c>
      <c r="Y75" s="17" t="s">
        <v>1628</v>
      </c>
      <c r="Z75" s="17" t="s">
        <v>1603</v>
      </c>
      <c r="AA75" s="17" t="s">
        <v>1600</v>
      </c>
      <c r="AB75" s="17" t="s">
        <v>1632</v>
      </c>
      <c r="AC75" s="17" t="s">
        <v>1630</v>
      </c>
      <c r="AD75" s="17" t="s">
        <v>1603</v>
      </c>
      <c r="AE75" s="17" t="s">
        <v>1602</v>
      </c>
      <c r="AF75" s="17" t="s">
        <v>1601</v>
      </c>
      <c r="AG75" s="17" t="s">
        <v>1602</v>
      </c>
      <c r="AH75" s="17" t="s">
        <v>1630</v>
      </c>
      <c r="AI75" s="17" t="s">
        <v>1603</v>
      </c>
      <c r="AJ75" s="17" t="s">
        <v>1603</v>
      </c>
      <c r="AK75" s="17" t="s">
        <v>1607</v>
      </c>
      <c r="AL75" s="17" t="s">
        <v>1602</v>
      </c>
      <c r="AM75" s="17" t="s">
        <v>1633</v>
      </c>
      <c r="AN75" s="17" t="s">
        <v>1633</v>
      </c>
      <c r="AO75" s="17" t="s">
        <v>1634</v>
      </c>
      <c r="AP75" s="17" t="s">
        <v>1605</v>
      </c>
      <c r="AQ75" s="41" t="s">
        <v>1605</v>
      </c>
      <c r="AR75" s="17" t="s">
        <v>1630</v>
      </c>
      <c r="AS75" s="17" t="s">
        <v>1604</v>
      </c>
      <c r="AT75" s="17" t="s">
        <v>1631</v>
      </c>
      <c r="AU75" s="17" t="s">
        <v>1603</v>
      </c>
      <c r="AV75" s="17" t="s">
        <v>1605</v>
      </c>
      <c r="AW75" s="17" t="s">
        <v>1604</v>
      </c>
      <c r="AX75" s="17" t="s">
        <v>1630</v>
      </c>
      <c r="AY75" s="17" t="s">
        <v>1605</v>
      </c>
      <c r="AZ75" s="17" t="s">
        <v>1601</v>
      </c>
      <c r="BA75" s="17" t="s">
        <v>1603</v>
      </c>
      <c r="BB75" s="17" t="s">
        <v>1630</v>
      </c>
      <c r="BC75" s="17" t="s">
        <v>1602</v>
      </c>
      <c r="BD75" s="17" t="s">
        <v>1603</v>
      </c>
      <c r="BE75" s="17" t="s">
        <v>1630</v>
      </c>
      <c r="BF75" s="17" t="s">
        <v>1607</v>
      </c>
      <c r="BG75" s="17" t="s">
        <v>1605</v>
      </c>
      <c r="BH75" s="17" t="s">
        <v>1603</v>
      </c>
      <c r="BI75" s="17" t="s">
        <v>1605</v>
      </c>
      <c r="BJ75" s="17" t="s">
        <v>1603</v>
      </c>
      <c r="BK75" s="17" t="s">
        <v>1630</v>
      </c>
      <c r="BL75" s="17" t="s">
        <v>1627</v>
      </c>
      <c r="BM75" s="175" t="s">
        <v>1602</v>
      </c>
      <c r="BN75" s="17" t="s">
        <v>1601</v>
      </c>
      <c r="BO75" s="17" t="s">
        <v>1601</v>
      </c>
      <c r="BP75" s="17" t="s">
        <v>1600</v>
      </c>
      <c r="BQ75" s="17" t="s">
        <v>1627</v>
      </c>
      <c r="BR75" s="51" t="s">
        <v>1603</v>
      </c>
      <c r="BS75" s="17" t="s">
        <v>1633</v>
      </c>
      <c r="BT75" s="17" t="s">
        <v>1605</v>
      </c>
      <c r="BU75" s="17" t="s">
        <v>1603</v>
      </c>
      <c r="BV75" s="17" t="s">
        <v>1603</v>
      </c>
      <c r="BW75" s="17" t="s">
        <v>1626</v>
      </c>
      <c r="BX75" s="17" t="s">
        <v>1630</v>
      </c>
      <c r="BY75" s="17" t="s">
        <v>1600</v>
      </c>
      <c r="BZ75" s="17" t="s">
        <v>1603</v>
      </c>
      <c r="CA75" s="60" t="s">
        <v>1629</v>
      </c>
      <c r="CB75" s="17" t="s">
        <v>1607</v>
      </c>
      <c r="CC75" s="69" t="s">
        <v>1631</v>
      </c>
      <c r="CD75" s="17" t="s">
        <v>1607</v>
      </c>
      <c r="CE75" s="31" t="s">
        <v>1605</v>
      </c>
      <c r="CF75" s="17" t="s">
        <v>1626</v>
      </c>
      <c r="CG75" s="17" t="s">
        <v>1626</v>
      </c>
      <c r="CH75" s="17" t="s">
        <v>1607</v>
      </c>
      <c r="CI75" s="17" t="s">
        <v>1633</v>
      </c>
      <c r="CJ75" s="17" t="s">
        <v>1627</v>
      </c>
      <c r="CK75" s="17" t="s">
        <v>1600</v>
      </c>
      <c r="CL75" s="17" t="s">
        <v>1602</v>
      </c>
      <c r="CM75" s="17" t="s">
        <v>1627</v>
      </c>
      <c r="CN75" s="162"/>
    </row>
    <row r="76" spans="1:92" s="5" customFormat="1">
      <c r="A76" s="348" t="s">
        <v>327</v>
      </c>
      <c r="B76" s="376" t="s">
        <v>69</v>
      </c>
      <c r="C76" s="376" t="s">
        <v>248</v>
      </c>
      <c r="D76" s="30"/>
      <c r="I76" s="5" t="s">
        <v>1635</v>
      </c>
      <c r="K76" s="5" t="s">
        <v>90</v>
      </c>
      <c r="Q76" s="5" t="s">
        <v>89</v>
      </c>
      <c r="S76" s="5" t="s">
        <v>96</v>
      </c>
      <c r="W76" s="5" t="s">
        <v>1711</v>
      </c>
      <c r="Y76" s="5" t="s">
        <v>40</v>
      </c>
      <c r="AB76" s="5" t="s">
        <v>40</v>
      </c>
      <c r="AK76" s="5" t="s">
        <v>28</v>
      </c>
      <c r="AQ76" s="40"/>
      <c r="AS76" s="5" t="s">
        <v>75</v>
      </c>
      <c r="AT76" s="5" t="s">
        <v>54</v>
      </c>
      <c r="AY76" s="5" t="s">
        <v>28</v>
      </c>
      <c r="BD76" s="5" t="s">
        <v>75</v>
      </c>
      <c r="BG76" s="5" t="s">
        <v>75</v>
      </c>
      <c r="BM76" s="176"/>
      <c r="BO76" s="5" t="s">
        <v>75</v>
      </c>
      <c r="BP76" s="5" t="s">
        <v>1710</v>
      </c>
      <c r="BR76" s="44"/>
      <c r="BS76" s="5" t="s">
        <v>28</v>
      </c>
      <c r="BT76" s="5" t="s">
        <v>108</v>
      </c>
      <c r="BU76" s="5" t="s">
        <v>199</v>
      </c>
      <c r="BV76" s="5" t="s">
        <v>39</v>
      </c>
      <c r="BX76" s="5" t="s">
        <v>28</v>
      </c>
      <c r="BZ76" s="5" t="s">
        <v>866</v>
      </c>
      <c r="CA76" s="59"/>
      <c r="CC76" s="68" t="s">
        <v>100</v>
      </c>
      <c r="CE76" s="30"/>
      <c r="CN76" s="163"/>
    </row>
    <row r="77" spans="1:92" s="5" customFormat="1">
      <c r="A77" s="348" t="s">
        <v>328</v>
      </c>
      <c r="B77" s="376" t="s">
        <v>69</v>
      </c>
      <c r="C77" s="376" t="s">
        <v>248</v>
      </c>
      <c r="D77" s="30"/>
      <c r="I77" s="5" t="s">
        <v>98</v>
      </c>
      <c r="S77" s="5" t="s">
        <v>71</v>
      </c>
      <c r="Y77" s="5" t="s">
        <v>100</v>
      </c>
      <c r="AB77" s="5" t="s">
        <v>700</v>
      </c>
      <c r="AQ77" s="40"/>
      <c r="AS77" s="5" t="s">
        <v>142</v>
      </c>
      <c r="AY77" s="5" t="s">
        <v>160</v>
      </c>
      <c r="BD77" s="5" t="s">
        <v>139</v>
      </c>
      <c r="BM77" s="176"/>
      <c r="BO77" s="5" t="s">
        <v>181</v>
      </c>
      <c r="BR77" s="44"/>
      <c r="BT77" s="5" t="s">
        <v>100</v>
      </c>
      <c r="BV77" s="5" t="s">
        <v>34</v>
      </c>
      <c r="BX77" s="5" t="s">
        <v>100</v>
      </c>
      <c r="CA77" s="59"/>
      <c r="CC77" s="68"/>
      <c r="CE77" s="30"/>
      <c r="CN77" s="163"/>
    </row>
    <row r="78" spans="1:92" s="5" customFormat="1">
      <c r="A78" s="348" t="s">
        <v>329</v>
      </c>
      <c r="B78" s="376" t="s">
        <v>69</v>
      </c>
      <c r="C78" s="376" t="s">
        <v>248</v>
      </c>
      <c r="D78" s="30"/>
      <c r="I78" s="5" t="s">
        <v>37</v>
      </c>
      <c r="S78" s="5" t="s">
        <v>97</v>
      </c>
      <c r="AQ78" s="40"/>
      <c r="AY78" s="5" t="s">
        <v>100</v>
      </c>
      <c r="BD78" s="5" t="s">
        <v>1708</v>
      </c>
      <c r="BM78" s="176"/>
      <c r="BO78" s="5" t="s">
        <v>1708</v>
      </c>
      <c r="BR78" s="44"/>
      <c r="BV78" s="5" t="s">
        <v>203</v>
      </c>
      <c r="BX78" s="5" t="s">
        <v>208</v>
      </c>
      <c r="CA78" s="59"/>
      <c r="CC78" s="68"/>
      <c r="CE78" s="30"/>
      <c r="CN78" s="163"/>
    </row>
    <row r="79" spans="1:92" s="5" customFormat="1">
      <c r="A79" s="348" t="s">
        <v>330</v>
      </c>
      <c r="B79" s="376" t="s">
        <v>69</v>
      </c>
      <c r="C79" s="376" t="s">
        <v>248</v>
      </c>
      <c r="D79" s="30"/>
      <c r="AQ79" s="40"/>
      <c r="AY79" s="5" t="s">
        <v>75</v>
      </c>
      <c r="BM79" s="176"/>
      <c r="BR79" s="44"/>
      <c r="CA79" s="59"/>
      <c r="CC79" s="68"/>
      <c r="CE79" s="30"/>
      <c r="CN79" s="163"/>
    </row>
    <row r="80" spans="1:92" s="5" customFormat="1">
      <c r="A80" s="348" t="s">
        <v>331</v>
      </c>
      <c r="B80" s="376" t="s">
        <v>69</v>
      </c>
      <c r="C80" s="376" t="s">
        <v>248</v>
      </c>
      <c r="D80" s="30"/>
      <c r="AQ80" s="40"/>
      <c r="AY80" s="5" t="s">
        <v>147</v>
      </c>
      <c r="BM80" s="176"/>
      <c r="BR80" s="44"/>
      <c r="CA80" s="59"/>
      <c r="CC80" s="68"/>
      <c r="CE80" s="30"/>
      <c r="CN80" s="163"/>
    </row>
    <row r="81" spans="1:92" s="5" customFormat="1">
      <c r="A81" s="348" t="s">
        <v>332</v>
      </c>
      <c r="B81" s="376" t="s">
        <v>69</v>
      </c>
      <c r="C81" s="376" t="s">
        <v>248</v>
      </c>
      <c r="D81" s="30"/>
      <c r="AQ81" s="40"/>
      <c r="BM81" s="176"/>
      <c r="BR81" s="44"/>
      <c r="CA81" s="59"/>
      <c r="CC81" s="68"/>
      <c r="CE81" s="30"/>
      <c r="CN81" s="163"/>
    </row>
    <row r="82" spans="1:92" s="5" customFormat="1">
      <c r="A82" s="348" t="s">
        <v>333</v>
      </c>
      <c r="B82" s="376" t="s">
        <v>69</v>
      </c>
      <c r="C82" s="376" t="s">
        <v>248</v>
      </c>
      <c r="D82" s="30"/>
      <c r="AQ82" s="40"/>
      <c r="BM82" s="176"/>
      <c r="BR82" s="44"/>
      <c r="CA82" s="59"/>
      <c r="CC82" s="68"/>
      <c r="CE82" s="30"/>
      <c r="CN82" s="163"/>
    </row>
    <row r="83" spans="1:92" s="5" customFormat="1">
      <c r="A83" s="348" t="s">
        <v>334</v>
      </c>
      <c r="B83" s="376" t="s">
        <v>69</v>
      </c>
      <c r="C83" s="376" t="s">
        <v>248</v>
      </c>
      <c r="D83" s="30"/>
      <c r="AQ83" s="40"/>
      <c r="BM83" s="176"/>
      <c r="BR83" s="44"/>
      <c r="CA83" s="59"/>
      <c r="CC83" s="68"/>
      <c r="CE83" s="30"/>
      <c r="CN83" s="163"/>
    </row>
    <row r="84" spans="1:92" s="5" customFormat="1">
      <c r="A84" s="348" t="s">
        <v>335</v>
      </c>
      <c r="B84" s="376" t="s">
        <v>69</v>
      </c>
      <c r="C84" s="376" t="s">
        <v>248</v>
      </c>
      <c r="D84" s="30"/>
      <c r="AQ84" s="40"/>
      <c r="BM84" s="176"/>
      <c r="BR84" s="44"/>
      <c r="CA84" s="59"/>
      <c r="CC84" s="68"/>
      <c r="CE84" s="30"/>
      <c r="CN84" s="163"/>
    </row>
    <row r="85" spans="1:92" s="5" customFormat="1">
      <c r="A85" s="348" t="s">
        <v>336</v>
      </c>
      <c r="B85" s="376" t="s">
        <v>69</v>
      </c>
      <c r="C85" s="376" t="s">
        <v>248</v>
      </c>
      <c r="D85" s="30"/>
      <c r="AQ85" s="40"/>
      <c r="BM85" s="176"/>
      <c r="BR85" s="44"/>
      <c r="CA85" s="59"/>
      <c r="CC85" s="68"/>
      <c r="CE85" s="30"/>
      <c r="CN85" s="163"/>
    </row>
    <row r="86" spans="1:92" s="17" customFormat="1">
      <c r="A86" s="347" t="s">
        <v>337</v>
      </c>
      <c r="B86" s="375" t="s">
        <v>69</v>
      </c>
      <c r="C86" s="375" t="s">
        <v>242</v>
      </c>
      <c r="D86" s="31"/>
      <c r="AB86" s="17" t="s">
        <v>250</v>
      </c>
      <c r="AO86" s="17" t="s">
        <v>189</v>
      </c>
      <c r="AQ86" s="41"/>
      <c r="BM86" s="175"/>
      <c r="BR86" s="51"/>
      <c r="BS86" s="17" t="s">
        <v>193</v>
      </c>
      <c r="BT86" s="17" t="s">
        <v>189</v>
      </c>
      <c r="BW86" s="17" t="s">
        <v>663</v>
      </c>
      <c r="CA86" s="60"/>
      <c r="CC86" s="69"/>
      <c r="CD86" s="17" t="s">
        <v>211</v>
      </c>
      <c r="CE86" s="31"/>
      <c r="CN86" s="162"/>
    </row>
    <row r="87" spans="1:92" s="17" customFormat="1">
      <c r="A87" s="347" t="s">
        <v>338</v>
      </c>
      <c r="B87" s="375" t="s">
        <v>69</v>
      </c>
      <c r="C87" s="375" t="s">
        <v>242</v>
      </c>
      <c r="D87" s="31"/>
      <c r="AO87" s="17" t="s">
        <v>184</v>
      </c>
      <c r="AQ87" s="41"/>
      <c r="BM87" s="175"/>
      <c r="BR87" s="51"/>
      <c r="BT87" s="17" t="s">
        <v>150</v>
      </c>
      <c r="CA87" s="60"/>
      <c r="CC87" s="69"/>
      <c r="CE87" s="31"/>
      <c r="CN87" s="162"/>
    </row>
    <row r="88" spans="1:92" s="17" customFormat="1">
      <c r="A88" s="347" t="s">
        <v>339</v>
      </c>
      <c r="B88" s="375" t="s">
        <v>69</v>
      </c>
      <c r="C88" s="375" t="s">
        <v>242</v>
      </c>
      <c r="D88" s="31"/>
      <c r="AQ88" s="41"/>
      <c r="BM88" s="175"/>
      <c r="BR88" s="51"/>
      <c r="CA88" s="60"/>
      <c r="CC88" s="69"/>
      <c r="CE88" s="31"/>
      <c r="CN88" s="162"/>
    </row>
    <row r="89" spans="1:92" s="17" customFormat="1">
      <c r="A89" s="347" t="s">
        <v>340</v>
      </c>
      <c r="B89" s="375" t="s">
        <v>69</v>
      </c>
      <c r="C89" s="375" t="s">
        <v>242</v>
      </c>
      <c r="D89" s="31"/>
      <c r="AQ89" s="41"/>
      <c r="BM89" s="175"/>
      <c r="BR89" s="51"/>
      <c r="CA89" s="60"/>
      <c r="CC89" s="69"/>
      <c r="CE89" s="31"/>
      <c r="CN89" s="162"/>
    </row>
    <row r="90" spans="1:92" s="17" customFormat="1">
      <c r="A90" s="347" t="s">
        <v>341</v>
      </c>
      <c r="B90" s="375" t="s">
        <v>69</v>
      </c>
      <c r="C90" s="375" t="s">
        <v>242</v>
      </c>
      <c r="D90" s="31"/>
      <c r="AQ90" s="41"/>
      <c r="BM90" s="175"/>
      <c r="BR90" s="51"/>
      <c r="CA90" s="60"/>
      <c r="CC90" s="69"/>
      <c r="CE90" s="31"/>
      <c r="CN90" s="162"/>
    </row>
    <row r="91" spans="1:92" s="17" customFormat="1">
      <c r="A91" s="347" t="s">
        <v>342</v>
      </c>
      <c r="B91" s="375" t="s">
        <v>69</v>
      </c>
      <c r="C91" s="375" t="s">
        <v>242</v>
      </c>
      <c r="D91" s="31"/>
      <c r="AQ91" s="41"/>
      <c r="BM91" s="175"/>
      <c r="BR91" s="51"/>
      <c r="CA91" s="60"/>
      <c r="CC91" s="69"/>
      <c r="CE91" s="31"/>
      <c r="CN91" s="162"/>
    </row>
    <row r="92" spans="1:92" s="17" customFormat="1">
      <c r="A92" s="347" t="s">
        <v>343</v>
      </c>
      <c r="B92" s="375" t="s">
        <v>69</v>
      </c>
      <c r="C92" s="375" t="s">
        <v>242</v>
      </c>
      <c r="D92" s="31"/>
      <c r="AQ92" s="41"/>
      <c r="BM92" s="175"/>
      <c r="BR92" s="51"/>
      <c r="CA92" s="60"/>
      <c r="CC92" s="69"/>
      <c r="CE92" s="31"/>
      <c r="CN92" s="162"/>
    </row>
    <row r="93" spans="1:92" s="17" customFormat="1">
      <c r="A93" s="347" t="s">
        <v>344</v>
      </c>
      <c r="B93" s="375" t="s">
        <v>69</v>
      </c>
      <c r="C93" s="375" t="s">
        <v>242</v>
      </c>
      <c r="D93" s="31"/>
      <c r="AQ93" s="41"/>
      <c r="BM93" s="175"/>
      <c r="BR93" s="51"/>
      <c r="CA93" s="60"/>
      <c r="CC93" s="69"/>
      <c r="CE93" s="31"/>
      <c r="CN93" s="162"/>
    </row>
    <row r="94" spans="1:92" s="17" customFormat="1">
      <c r="A94" s="347" t="s">
        <v>345</v>
      </c>
      <c r="B94" s="375" t="s">
        <v>69</v>
      </c>
      <c r="C94" s="375" t="s">
        <v>242</v>
      </c>
      <c r="D94" s="31"/>
      <c r="AQ94" s="41"/>
      <c r="BM94" s="175"/>
      <c r="BR94" s="51"/>
      <c r="CA94" s="60"/>
      <c r="CC94" s="69"/>
      <c r="CE94" s="31"/>
      <c r="CN94" s="162"/>
    </row>
    <row r="95" spans="1:92" s="17" customFormat="1">
      <c r="A95" s="347" t="s">
        <v>346</v>
      </c>
      <c r="B95" s="375" t="s">
        <v>69</v>
      </c>
      <c r="C95" s="375" t="s">
        <v>242</v>
      </c>
      <c r="D95" s="31"/>
      <c r="AQ95" s="41"/>
      <c r="BM95" s="175"/>
      <c r="BR95" s="51"/>
      <c r="CA95" s="60"/>
      <c r="CC95" s="69"/>
      <c r="CE95" s="31"/>
      <c r="CN95" s="162"/>
    </row>
    <row r="96" spans="1:92" s="5" customFormat="1">
      <c r="A96" s="348" t="s">
        <v>347</v>
      </c>
      <c r="B96" s="376" t="s">
        <v>69</v>
      </c>
      <c r="C96" s="376" t="s">
        <v>247</v>
      </c>
      <c r="D96" s="30"/>
      <c r="AQ96" s="40"/>
      <c r="BM96" s="176"/>
      <c r="BR96" s="44"/>
      <c r="CA96" s="59"/>
      <c r="CC96" s="68"/>
      <c r="CE96" s="30"/>
      <c r="CN96" s="163"/>
    </row>
    <row r="97" spans="1:92" s="5" customFormat="1">
      <c r="A97" s="348" t="s">
        <v>348</v>
      </c>
      <c r="B97" s="376" t="s">
        <v>69</v>
      </c>
      <c r="C97" s="376" t="s">
        <v>247</v>
      </c>
      <c r="D97" s="30"/>
      <c r="AQ97" s="40"/>
      <c r="BM97" s="176"/>
      <c r="BR97" s="44"/>
      <c r="CA97" s="59"/>
      <c r="CC97" s="68"/>
      <c r="CE97" s="30"/>
      <c r="CN97" s="163"/>
    </row>
    <row r="98" spans="1:92" s="5" customFormat="1">
      <c r="A98" s="348" t="s">
        <v>349</v>
      </c>
      <c r="B98" s="376" t="s">
        <v>69</v>
      </c>
      <c r="C98" s="376" t="s">
        <v>247</v>
      </c>
      <c r="D98" s="30"/>
      <c r="AQ98" s="40"/>
      <c r="BM98" s="176"/>
      <c r="BR98" s="44"/>
      <c r="CA98" s="59"/>
      <c r="CC98" s="68"/>
      <c r="CE98" s="30"/>
      <c r="CN98" s="163"/>
    </row>
    <row r="99" spans="1:92" s="5" customFormat="1">
      <c r="A99" s="348" t="s">
        <v>350</v>
      </c>
      <c r="B99" s="376" t="s">
        <v>69</v>
      </c>
      <c r="C99" s="376" t="s">
        <v>247</v>
      </c>
      <c r="D99" s="30"/>
      <c r="AQ99" s="40"/>
      <c r="BM99" s="176"/>
      <c r="BR99" s="44"/>
      <c r="CA99" s="59"/>
      <c r="CC99" s="68"/>
      <c r="CE99" s="30"/>
      <c r="CN99" s="163"/>
    </row>
    <row r="100" spans="1:92" s="5" customFormat="1">
      <c r="A100" s="348" t="s">
        <v>351</v>
      </c>
      <c r="B100" s="376" t="s">
        <v>69</v>
      </c>
      <c r="C100" s="376" t="s">
        <v>247</v>
      </c>
      <c r="D100" s="30"/>
      <c r="AQ100" s="40"/>
      <c r="BM100" s="176"/>
      <c r="BR100" s="44"/>
      <c r="CA100" s="59"/>
      <c r="CC100" s="68"/>
      <c r="CE100" s="30"/>
      <c r="CN100" s="163"/>
    </row>
    <row r="101" spans="1:92" s="5" customFormat="1">
      <c r="A101" s="348" t="s">
        <v>352</v>
      </c>
      <c r="B101" s="376" t="s">
        <v>69</v>
      </c>
      <c r="C101" s="376" t="s">
        <v>247</v>
      </c>
      <c r="D101" s="30"/>
      <c r="AQ101" s="40"/>
      <c r="BM101" s="176"/>
      <c r="BR101" s="44"/>
      <c r="CA101" s="59"/>
      <c r="CC101" s="68"/>
      <c r="CE101" s="30"/>
      <c r="CN101" s="163"/>
    </row>
    <row r="102" spans="1:92" s="5" customFormat="1">
      <c r="A102" s="348" t="s">
        <v>353</v>
      </c>
      <c r="B102" s="376" t="s">
        <v>69</v>
      </c>
      <c r="C102" s="376" t="s">
        <v>247</v>
      </c>
      <c r="D102" s="30"/>
      <c r="AQ102" s="40"/>
      <c r="BM102" s="176"/>
      <c r="BR102" s="44"/>
      <c r="CA102" s="59"/>
      <c r="CC102" s="68"/>
      <c r="CE102" s="30"/>
      <c r="CN102" s="163"/>
    </row>
    <row r="103" spans="1:92" s="5" customFormat="1">
      <c r="A103" s="348" t="s">
        <v>354</v>
      </c>
      <c r="B103" s="376" t="s">
        <v>69</v>
      </c>
      <c r="C103" s="376" t="s">
        <v>247</v>
      </c>
      <c r="D103" s="30"/>
      <c r="AQ103" s="40"/>
      <c r="BM103" s="176"/>
      <c r="BR103" s="44"/>
      <c r="CA103" s="59"/>
      <c r="CC103" s="68"/>
      <c r="CE103" s="30"/>
      <c r="CN103" s="163"/>
    </row>
    <row r="104" spans="1:92" s="5" customFormat="1">
      <c r="A104" s="348" t="s">
        <v>355</v>
      </c>
      <c r="B104" s="376" t="s">
        <v>69</v>
      </c>
      <c r="C104" s="376" t="s">
        <v>247</v>
      </c>
      <c r="D104" s="30"/>
      <c r="AQ104" s="40"/>
      <c r="BM104" s="176"/>
      <c r="BR104" s="44"/>
      <c r="CA104" s="59"/>
      <c r="CC104" s="68"/>
      <c r="CE104" s="30"/>
      <c r="CN104" s="163"/>
    </row>
    <row r="105" spans="1:92" s="5" customFormat="1">
      <c r="A105" s="348" t="s">
        <v>356</v>
      </c>
      <c r="B105" s="376" t="s">
        <v>69</v>
      </c>
      <c r="C105" s="376" t="s">
        <v>247</v>
      </c>
      <c r="D105" s="30"/>
      <c r="AQ105" s="40"/>
      <c r="BM105" s="176"/>
      <c r="BR105" s="44"/>
      <c r="CA105" s="59"/>
      <c r="CC105" s="68"/>
      <c r="CE105" s="30"/>
      <c r="CN105" s="163"/>
    </row>
    <row r="106" spans="1:92" s="4" customFormat="1">
      <c r="A106" s="349" t="s">
        <v>358</v>
      </c>
      <c r="B106" s="377" t="s">
        <v>69</v>
      </c>
      <c r="C106" s="377" t="s">
        <v>723</v>
      </c>
      <c r="D106" s="26"/>
      <c r="I106" s="4" t="s">
        <v>389</v>
      </c>
      <c r="K106" s="4" t="s">
        <v>391</v>
      </c>
      <c r="Q106" s="4" t="s">
        <v>392</v>
      </c>
      <c r="S106" s="4" t="s">
        <v>394</v>
      </c>
      <c r="W106" s="4" t="s">
        <v>396</v>
      </c>
      <c r="Y106" s="4" t="s">
        <v>396</v>
      </c>
      <c r="AB106" s="4" t="s">
        <v>701</v>
      </c>
      <c r="AK106" s="4" t="s">
        <v>397</v>
      </c>
      <c r="AM106" s="4" t="s">
        <v>856</v>
      </c>
      <c r="AN106" s="4" t="s">
        <v>856</v>
      </c>
      <c r="AQ106" s="37"/>
      <c r="AS106" s="4" t="s">
        <v>398</v>
      </c>
      <c r="AT106" s="4" t="s">
        <v>400</v>
      </c>
      <c r="AY106" s="4" t="s">
        <v>401</v>
      </c>
      <c r="BD106" s="4" t="s">
        <v>644</v>
      </c>
      <c r="BG106" s="4" t="s">
        <v>406</v>
      </c>
      <c r="BM106" s="177"/>
      <c r="BP106" s="4" t="s">
        <v>646</v>
      </c>
      <c r="BR106" s="47"/>
      <c r="BT106" s="4" t="s">
        <v>659</v>
      </c>
      <c r="BU106" s="4" t="s">
        <v>661</v>
      </c>
      <c r="BZ106" s="4" t="s">
        <v>864</v>
      </c>
      <c r="CA106" s="57"/>
      <c r="CC106" s="63"/>
      <c r="CD106" s="4" t="s">
        <v>409</v>
      </c>
      <c r="CE106" s="26"/>
      <c r="CN106" s="164"/>
    </row>
    <row r="107" spans="1:92" s="4" customFormat="1">
      <c r="A107" s="349" t="s">
        <v>359</v>
      </c>
      <c r="B107" s="377" t="s">
        <v>69</v>
      </c>
      <c r="C107" s="377" t="s">
        <v>723</v>
      </c>
      <c r="D107" s="26"/>
      <c r="I107" s="4" t="s">
        <v>388</v>
      </c>
      <c r="S107" s="4" t="s">
        <v>395</v>
      </c>
      <c r="AB107" s="4" t="s">
        <v>702</v>
      </c>
      <c r="AQ107" s="37"/>
      <c r="AS107" s="4" t="s">
        <v>399</v>
      </c>
      <c r="AY107" s="4" t="s">
        <v>402</v>
      </c>
      <c r="BD107" s="4" t="s">
        <v>645</v>
      </c>
      <c r="BM107" s="177"/>
      <c r="BR107" s="47"/>
      <c r="BT107" s="4" t="s">
        <v>660</v>
      </c>
      <c r="CA107" s="57"/>
      <c r="CC107" s="63"/>
      <c r="CE107" s="26"/>
      <c r="CN107" s="164"/>
    </row>
    <row r="108" spans="1:92" s="4" customFormat="1">
      <c r="A108" s="349" t="s">
        <v>360</v>
      </c>
      <c r="B108" s="377" t="s">
        <v>69</v>
      </c>
      <c r="C108" s="377" t="s">
        <v>723</v>
      </c>
      <c r="D108" s="26"/>
      <c r="I108" s="4" t="s">
        <v>390</v>
      </c>
      <c r="S108" s="4" t="s">
        <v>393</v>
      </c>
      <c r="AQ108" s="37"/>
      <c r="AY108" s="4" t="s">
        <v>405</v>
      </c>
      <c r="BD108" s="4" t="s">
        <v>643</v>
      </c>
      <c r="BM108" s="177"/>
      <c r="BR108" s="47"/>
      <c r="CA108" s="57"/>
      <c r="CC108" s="63"/>
      <c r="CE108" s="26"/>
      <c r="CN108" s="164"/>
    </row>
    <row r="109" spans="1:92" s="4" customFormat="1">
      <c r="A109" s="349" t="s">
        <v>361</v>
      </c>
      <c r="B109" s="377" t="s">
        <v>69</v>
      </c>
      <c r="C109" s="377" t="s">
        <v>723</v>
      </c>
      <c r="D109" s="26"/>
      <c r="AQ109" s="37"/>
      <c r="AY109" s="4" t="s">
        <v>403</v>
      </c>
      <c r="BM109" s="177"/>
      <c r="BR109" s="47"/>
      <c r="CA109" s="57"/>
      <c r="CC109" s="63"/>
      <c r="CE109" s="26"/>
      <c r="CN109" s="164"/>
    </row>
    <row r="110" spans="1:92" s="4" customFormat="1">
      <c r="A110" s="349" t="s">
        <v>362</v>
      </c>
      <c r="B110" s="377" t="s">
        <v>69</v>
      </c>
      <c r="C110" s="377" t="s">
        <v>723</v>
      </c>
      <c r="D110" s="26"/>
      <c r="AQ110" s="37"/>
      <c r="AY110" s="4" t="s">
        <v>404</v>
      </c>
      <c r="BM110" s="177"/>
      <c r="BR110" s="47"/>
      <c r="CA110" s="57"/>
      <c r="CC110" s="63"/>
      <c r="CE110" s="26"/>
      <c r="CN110" s="164"/>
    </row>
    <row r="111" spans="1:92" s="4" customFormat="1">
      <c r="A111" s="349" t="s">
        <v>363</v>
      </c>
      <c r="B111" s="377" t="s">
        <v>69</v>
      </c>
      <c r="C111" s="377" t="s">
        <v>723</v>
      </c>
      <c r="D111" s="26"/>
      <c r="AQ111" s="37"/>
      <c r="BM111" s="177"/>
      <c r="BR111" s="47"/>
      <c r="CA111" s="57"/>
      <c r="CC111" s="63"/>
      <c r="CE111" s="26"/>
      <c r="CN111" s="164"/>
    </row>
    <row r="112" spans="1:92" s="4" customFormat="1">
      <c r="A112" s="349" t="s">
        <v>364</v>
      </c>
      <c r="B112" s="377" t="s">
        <v>69</v>
      </c>
      <c r="C112" s="377" t="s">
        <v>723</v>
      </c>
      <c r="D112" s="26"/>
      <c r="AQ112" s="37"/>
      <c r="BM112" s="177"/>
      <c r="BR112" s="47"/>
      <c r="CA112" s="57"/>
      <c r="CC112" s="63"/>
      <c r="CE112" s="26"/>
      <c r="CN112" s="164"/>
    </row>
    <row r="113" spans="1:92" s="4" customFormat="1">
      <c r="A113" s="349" t="s">
        <v>365</v>
      </c>
      <c r="B113" s="377" t="s">
        <v>69</v>
      </c>
      <c r="C113" s="377" t="s">
        <v>723</v>
      </c>
      <c r="D113" s="26"/>
      <c r="AQ113" s="37"/>
      <c r="BM113" s="177"/>
      <c r="BR113" s="47"/>
      <c r="CA113" s="57"/>
      <c r="CC113" s="63"/>
      <c r="CE113" s="26"/>
      <c r="CN113" s="164"/>
    </row>
    <row r="114" spans="1:92" s="4" customFormat="1">
      <c r="A114" s="349" t="s">
        <v>366</v>
      </c>
      <c r="B114" s="377" t="s">
        <v>69</v>
      </c>
      <c r="C114" s="377" t="s">
        <v>723</v>
      </c>
      <c r="D114" s="26"/>
      <c r="AQ114" s="37"/>
      <c r="BM114" s="177"/>
      <c r="BR114" s="47"/>
      <c r="CA114" s="57"/>
      <c r="CC114" s="63"/>
      <c r="CE114" s="26"/>
      <c r="CN114" s="164"/>
    </row>
    <row r="115" spans="1:92" s="4" customFormat="1">
      <c r="A115" s="349" t="s">
        <v>367</v>
      </c>
      <c r="B115" s="377" t="s">
        <v>69</v>
      </c>
      <c r="C115" s="377" t="s">
        <v>723</v>
      </c>
      <c r="D115" s="26"/>
      <c r="AQ115" s="37"/>
      <c r="BM115" s="177"/>
      <c r="BR115" s="47"/>
      <c r="CA115" s="57"/>
      <c r="CC115" s="63"/>
      <c r="CE115" s="26"/>
      <c r="CN115" s="164"/>
    </row>
    <row r="116" spans="1:92" s="6" customFormat="1">
      <c r="A116" s="342" t="s">
        <v>368</v>
      </c>
      <c r="B116" s="370" t="s">
        <v>69</v>
      </c>
      <c r="C116" s="370" t="s">
        <v>723</v>
      </c>
      <c r="D116" s="29"/>
      <c r="AB116" s="6" t="s">
        <v>703</v>
      </c>
      <c r="AM116" s="6" t="s">
        <v>843</v>
      </c>
      <c r="AN116" s="6" t="s">
        <v>843</v>
      </c>
      <c r="AO116" s="6" t="s">
        <v>878</v>
      </c>
      <c r="AQ116" s="34"/>
      <c r="BM116" s="167"/>
      <c r="BR116" s="50"/>
      <c r="BS116" s="6" t="s">
        <v>407</v>
      </c>
      <c r="BT116" s="6" t="s">
        <v>408</v>
      </c>
      <c r="BW116" s="6" t="s">
        <v>664</v>
      </c>
      <c r="CA116" s="58"/>
      <c r="CC116" s="67"/>
      <c r="CE116" s="29"/>
      <c r="CN116" s="157"/>
    </row>
    <row r="117" spans="1:92" s="6" customFormat="1">
      <c r="A117" s="342" t="s">
        <v>369</v>
      </c>
      <c r="B117" s="370" t="s">
        <v>69</v>
      </c>
      <c r="C117" s="370" t="s">
        <v>723</v>
      </c>
      <c r="D117" s="29"/>
      <c r="AO117" s="6" t="s">
        <v>879</v>
      </c>
      <c r="AQ117" s="34"/>
      <c r="BM117" s="167"/>
      <c r="BR117" s="50"/>
      <c r="BT117" s="6" t="s">
        <v>658</v>
      </c>
      <c r="CA117" s="58"/>
      <c r="CC117" s="67"/>
      <c r="CE117" s="29"/>
      <c r="CN117" s="157"/>
    </row>
    <row r="118" spans="1:92" s="6" customFormat="1">
      <c r="A118" s="342" t="s">
        <v>370</v>
      </c>
      <c r="B118" s="370" t="s">
        <v>69</v>
      </c>
      <c r="C118" s="370" t="s">
        <v>723</v>
      </c>
      <c r="D118" s="29"/>
      <c r="AQ118" s="34"/>
      <c r="BM118" s="167"/>
      <c r="BR118" s="50"/>
      <c r="CA118" s="58"/>
      <c r="CC118" s="67"/>
      <c r="CE118" s="29"/>
      <c r="CN118" s="157"/>
    </row>
    <row r="119" spans="1:92" s="6" customFormat="1">
      <c r="A119" s="342" t="s">
        <v>371</v>
      </c>
      <c r="B119" s="370" t="s">
        <v>69</v>
      </c>
      <c r="C119" s="370" t="s">
        <v>723</v>
      </c>
      <c r="D119" s="29"/>
      <c r="AQ119" s="34"/>
      <c r="BM119" s="167"/>
      <c r="BR119" s="50"/>
      <c r="CA119" s="58"/>
      <c r="CC119" s="67"/>
      <c r="CE119" s="29"/>
      <c r="CN119" s="157"/>
    </row>
    <row r="120" spans="1:92" s="6" customFormat="1">
      <c r="A120" s="342" t="s">
        <v>372</v>
      </c>
      <c r="B120" s="370" t="s">
        <v>69</v>
      </c>
      <c r="C120" s="370" t="s">
        <v>723</v>
      </c>
      <c r="D120" s="29"/>
      <c r="AQ120" s="34"/>
      <c r="BM120" s="167"/>
      <c r="BR120" s="50"/>
      <c r="CA120" s="58"/>
      <c r="CC120" s="67"/>
      <c r="CE120" s="29"/>
      <c r="CN120" s="157"/>
    </row>
    <row r="121" spans="1:92" s="6" customFormat="1">
      <c r="A121" s="342" t="s">
        <v>373</v>
      </c>
      <c r="B121" s="370" t="s">
        <v>69</v>
      </c>
      <c r="C121" s="370" t="s">
        <v>723</v>
      </c>
      <c r="D121" s="29"/>
      <c r="AQ121" s="34"/>
      <c r="BM121" s="167"/>
      <c r="BR121" s="50"/>
      <c r="CA121" s="58"/>
      <c r="CC121" s="67"/>
      <c r="CE121" s="29"/>
      <c r="CN121" s="157"/>
    </row>
    <row r="122" spans="1:92" s="6" customFormat="1">
      <c r="A122" s="342" t="s">
        <v>374</v>
      </c>
      <c r="B122" s="370" t="s">
        <v>69</v>
      </c>
      <c r="C122" s="370" t="s">
        <v>723</v>
      </c>
      <c r="D122" s="29"/>
      <c r="AQ122" s="34"/>
      <c r="BM122" s="167"/>
      <c r="BR122" s="50"/>
      <c r="CA122" s="58"/>
      <c r="CC122" s="67"/>
      <c r="CE122" s="29"/>
      <c r="CN122" s="157"/>
    </row>
    <row r="123" spans="1:92" s="6" customFormat="1">
      <c r="A123" s="342" t="s">
        <v>375</v>
      </c>
      <c r="B123" s="370" t="s">
        <v>69</v>
      </c>
      <c r="C123" s="370" t="s">
        <v>723</v>
      </c>
      <c r="D123" s="29"/>
      <c r="AQ123" s="34"/>
      <c r="BM123" s="167"/>
      <c r="BR123" s="50"/>
      <c r="CA123" s="58"/>
      <c r="CC123" s="67"/>
      <c r="CE123" s="29"/>
      <c r="CN123" s="157"/>
    </row>
    <row r="124" spans="1:92" s="6" customFormat="1">
      <c r="A124" s="342" t="s">
        <v>376</v>
      </c>
      <c r="B124" s="370" t="s">
        <v>69</v>
      </c>
      <c r="C124" s="370" t="s">
        <v>723</v>
      </c>
      <c r="D124" s="29"/>
      <c r="AQ124" s="34"/>
      <c r="BM124" s="167"/>
      <c r="BR124" s="50"/>
      <c r="CA124" s="58"/>
      <c r="CC124" s="67"/>
      <c r="CE124" s="29"/>
      <c r="CN124" s="157"/>
    </row>
    <row r="125" spans="1:92" s="6" customFormat="1">
      <c r="A125" s="342" t="s">
        <v>377</v>
      </c>
      <c r="B125" s="370" t="s">
        <v>69</v>
      </c>
      <c r="C125" s="370" t="s">
        <v>723</v>
      </c>
      <c r="D125" s="29"/>
      <c r="AQ125" s="34"/>
      <c r="BM125" s="167"/>
      <c r="BR125" s="50"/>
      <c r="CA125" s="58"/>
      <c r="CC125" s="67"/>
      <c r="CE125" s="29"/>
      <c r="CN125" s="157"/>
    </row>
    <row r="126" spans="1:92" s="4" customFormat="1">
      <c r="A126" s="349" t="s">
        <v>378</v>
      </c>
      <c r="B126" s="377" t="s">
        <v>69</v>
      </c>
      <c r="C126" s="377" t="s">
        <v>723</v>
      </c>
      <c r="D126" s="26"/>
      <c r="AQ126" s="37"/>
      <c r="BM126" s="177"/>
      <c r="BR126" s="47"/>
      <c r="CA126" s="57"/>
      <c r="CC126" s="63"/>
      <c r="CE126" s="26"/>
      <c r="CN126" s="164"/>
    </row>
    <row r="127" spans="1:92" s="4" customFormat="1">
      <c r="A127" s="349" t="s">
        <v>379</v>
      </c>
      <c r="B127" s="377" t="s">
        <v>69</v>
      </c>
      <c r="C127" s="377" t="s">
        <v>723</v>
      </c>
      <c r="D127" s="26"/>
      <c r="AQ127" s="37"/>
      <c r="BM127" s="177"/>
      <c r="BR127" s="47"/>
      <c r="CA127" s="57"/>
      <c r="CC127" s="63"/>
      <c r="CE127" s="26"/>
      <c r="CN127" s="164"/>
    </row>
    <row r="128" spans="1:92" s="4" customFormat="1">
      <c r="A128" s="349" t="s">
        <v>380</v>
      </c>
      <c r="B128" s="377" t="s">
        <v>69</v>
      </c>
      <c r="C128" s="377" t="s">
        <v>723</v>
      </c>
      <c r="D128" s="26"/>
      <c r="AQ128" s="37"/>
      <c r="BM128" s="177"/>
      <c r="BR128" s="47"/>
      <c r="CA128" s="57"/>
      <c r="CC128" s="63"/>
      <c r="CE128" s="26"/>
      <c r="CN128" s="164"/>
    </row>
    <row r="129" spans="1:92" s="4" customFormat="1">
      <c r="A129" s="349" t="s">
        <v>381</v>
      </c>
      <c r="B129" s="377" t="s">
        <v>69</v>
      </c>
      <c r="C129" s="377" t="s">
        <v>723</v>
      </c>
      <c r="D129" s="26"/>
      <c r="AQ129" s="37"/>
      <c r="BM129" s="177"/>
      <c r="BR129" s="47"/>
      <c r="CA129" s="57"/>
      <c r="CC129" s="63"/>
      <c r="CE129" s="26"/>
      <c r="CN129" s="164"/>
    </row>
    <row r="130" spans="1:92" s="4" customFormat="1">
      <c r="A130" s="349" t="s">
        <v>382</v>
      </c>
      <c r="B130" s="377" t="s">
        <v>69</v>
      </c>
      <c r="C130" s="377" t="s">
        <v>723</v>
      </c>
      <c r="D130" s="26"/>
      <c r="AQ130" s="37"/>
      <c r="BM130" s="177"/>
      <c r="BR130" s="47"/>
      <c r="CA130" s="57"/>
      <c r="CC130" s="63"/>
      <c r="CE130" s="26"/>
      <c r="CN130" s="164"/>
    </row>
    <row r="131" spans="1:92" s="4" customFormat="1">
      <c r="A131" s="349" t="s">
        <v>383</v>
      </c>
      <c r="B131" s="377" t="s">
        <v>69</v>
      </c>
      <c r="C131" s="377" t="s">
        <v>723</v>
      </c>
      <c r="D131" s="26"/>
      <c r="AQ131" s="37"/>
      <c r="BM131" s="177"/>
      <c r="BR131" s="47"/>
      <c r="CA131" s="57"/>
      <c r="CC131" s="63"/>
      <c r="CE131" s="26"/>
      <c r="CN131" s="164"/>
    </row>
    <row r="132" spans="1:92" s="4" customFormat="1">
      <c r="A132" s="349" t="s">
        <v>384</v>
      </c>
      <c r="B132" s="377" t="s">
        <v>69</v>
      </c>
      <c r="C132" s="377" t="s">
        <v>723</v>
      </c>
      <c r="D132" s="26"/>
      <c r="AQ132" s="37"/>
      <c r="BM132" s="177"/>
      <c r="BR132" s="47"/>
      <c r="CA132" s="57"/>
      <c r="CC132" s="63"/>
      <c r="CE132" s="26"/>
      <c r="CN132" s="164"/>
    </row>
    <row r="133" spans="1:92" s="4" customFormat="1">
      <c r="A133" s="349" t="s">
        <v>385</v>
      </c>
      <c r="B133" s="377" t="s">
        <v>69</v>
      </c>
      <c r="C133" s="377" t="s">
        <v>723</v>
      </c>
      <c r="D133" s="26"/>
      <c r="AQ133" s="37"/>
      <c r="BM133" s="177"/>
      <c r="BR133" s="47"/>
      <c r="CA133" s="57"/>
      <c r="CC133" s="63"/>
      <c r="CE133" s="26"/>
      <c r="CN133" s="164"/>
    </row>
    <row r="134" spans="1:92" s="4" customFormat="1">
      <c r="A134" s="349" t="s">
        <v>386</v>
      </c>
      <c r="B134" s="377" t="s">
        <v>69</v>
      </c>
      <c r="C134" s="377" t="s">
        <v>723</v>
      </c>
      <c r="D134" s="26"/>
      <c r="AQ134" s="37"/>
      <c r="BM134" s="177"/>
      <c r="BR134" s="47"/>
      <c r="CA134" s="57"/>
      <c r="CC134" s="63"/>
      <c r="CE134" s="26"/>
      <c r="CN134" s="164"/>
    </row>
    <row r="135" spans="1:92" s="4" customFormat="1">
      <c r="A135" s="349" t="s">
        <v>387</v>
      </c>
      <c r="B135" s="377" t="s">
        <v>69</v>
      </c>
      <c r="C135" s="377" t="s">
        <v>723</v>
      </c>
      <c r="D135" s="26"/>
      <c r="AQ135" s="37"/>
      <c r="BM135" s="177"/>
      <c r="BR135" s="47"/>
      <c r="CA135" s="57"/>
      <c r="CC135" s="63"/>
      <c r="CE135" s="26"/>
      <c r="CN135" s="164"/>
    </row>
    <row r="136" spans="1:92" s="18" customFormat="1">
      <c r="A136" s="350"/>
      <c r="B136" s="378"/>
      <c r="C136" s="378"/>
      <c r="D136" s="32"/>
      <c r="AQ136" s="42"/>
      <c r="BM136" s="178"/>
      <c r="BR136" s="52"/>
      <c r="CA136" s="61"/>
      <c r="CC136" s="70"/>
      <c r="CE136" s="32"/>
      <c r="CN136" s="165"/>
    </row>
  </sheetData>
  <phoneticPr fontId="3" type="noConversion"/>
  <conditionalFormatting sqref="A47:XFD47 A65:XFD65">
    <cfRule type="cellIs" dxfId="32" priority="24" operator="equal">
      <formula>"true"</formula>
    </cfRule>
  </conditionalFormatting>
  <conditionalFormatting sqref="A61:XFD73">
    <cfRule type="cellIs" dxfId="31" priority="22" operator="equal">
      <formula>""</formula>
    </cfRule>
  </conditionalFormatting>
  <conditionalFormatting sqref="A66:XFD66">
    <cfRule type="cellIs" dxfId="30" priority="18" operator="equal">
      <formula>"ENUM_DAMAGE_MAGICAL"</formula>
    </cfRule>
    <cfRule type="cellIs" dxfId="29" priority="19" operator="equal">
      <formula>"ENUM_DAMAGE_PHYSICAL"</formula>
    </cfRule>
  </conditionalFormatting>
  <conditionalFormatting sqref="A66:XFD73">
    <cfRule type="cellIs" dxfId="28" priority="2" operator="equal">
      <formula>"ENUM_DAMAGE_UNDEFINED"</formula>
    </cfRule>
  </conditionalFormatting>
  <conditionalFormatting sqref="A67:XFD67">
    <cfRule type="cellIs" dxfId="27" priority="5" operator="equal">
      <formula>"ENUM_DAMAGE_ETC"</formula>
    </cfRule>
    <cfRule type="cellIs" dxfId="26" priority="16" operator="equal">
      <formula>"ENUM_DAMAGE_SPELL"</formula>
    </cfRule>
    <cfRule type="cellIs" dxfId="25" priority="17" operator="equal">
      <formula>"ENUM_DAMAGE_BASIC"</formula>
    </cfRule>
  </conditionalFormatting>
  <conditionalFormatting sqref="A68:XFD68">
    <cfRule type="cellIs" dxfId="24" priority="14" operator="equal">
      <formula>"ENUM_DAMAGE_PERIODIC"</formula>
    </cfRule>
    <cfRule type="cellIs" dxfId="23" priority="15" operator="equal">
      <formula>"ENUM_DAMAGE_SINGLE"</formula>
    </cfRule>
  </conditionalFormatting>
  <conditionalFormatting sqref="A69:XFD69">
    <cfRule type="cellIs" dxfId="22" priority="12" operator="equal">
      <formula>"ENUM_DAMAGE_INNER"</formula>
    </cfRule>
    <cfRule type="cellIs" dxfId="21" priority="13" operator="equal">
      <formula>"ENUM_DAMAGE_OUTTER"</formula>
    </cfRule>
  </conditionalFormatting>
  <conditionalFormatting sqref="A70:XFD70">
    <cfRule type="cellIs" dxfId="20" priority="10" operator="equal">
      <formula>"ENUM_DAMAGE_NONTARGET"</formula>
    </cfRule>
    <cfRule type="cellIs" dxfId="19" priority="11" operator="equal">
      <formula>"ENUM_DAMAGE_TARGET"</formula>
    </cfRule>
  </conditionalFormatting>
  <conditionalFormatting sqref="A71:XFD71">
    <cfRule type="cellIs" dxfId="18" priority="8" operator="equal">
      <formula>"ENUM_DAMAGE_NONAOE"</formula>
    </cfRule>
    <cfRule type="cellIs" dxfId="17" priority="9" operator="equal">
      <formula>"ENUM_DAMAGE_AOE"</formula>
    </cfRule>
  </conditionalFormatting>
  <conditionalFormatting sqref="A72:XFD72">
    <cfRule type="cellIs" dxfId="16" priority="6" operator="equal">
      <formula>"ENUM_DAMAGE_NONHIT"</formula>
    </cfRule>
    <cfRule type="cellIs" dxfId="15" priority="7" operator="equal">
      <formula>"ENUM_DAMAGE_ONHIT"</formula>
    </cfRule>
  </conditionalFormatting>
  <conditionalFormatting sqref="A73:XFD73">
    <cfRule type="cellIs" dxfId="14" priority="3" operator="equal">
      <formula>"ENUM_DAMAGE_RANGED"</formula>
    </cfRule>
    <cfRule type="cellIs" dxfId="13" priority="4" operator="equal">
      <formula>"ENUM_DAMAGE_MELEE"</formula>
    </cfRule>
  </conditionalFormatting>
  <conditionalFormatting sqref="C1:C1048576">
    <cfRule type="cellIs" dxfId="12" priority="1" operator="equal">
      <formula>"ignore"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6B680-2DFA-4A63-89D9-5F76C51E56A3}">
  <dimension ref="A1:H15"/>
  <sheetViews>
    <sheetView workbookViewId="0">
      <selection activeCell="J15" sqref="J15"/>
    </sheetView>
  </sheetViews>
  <sheetFormatPr defaultRowHeight="16.5"/>
  <cols>
    <col min="1" max="1" width="9" style="218"/>
    <col min="2" max="2" width="16" customWidth="1"/>
    <col min="3" max="3" width="3" style="189" customWidth="1"/>
    <col min="4" max="4" width="9" style="218"/>
    <col min="5" max="5" width="16" customWidth="1"/>
    <col min="6" max="6" width="3" style="189" customWidth="1"/>
    <col min="7" max="7" width="9" style="218"/>
    <col min="8" max="8" width="16" customWidth="1"/>
    <col min="10" max="10" width="12.5" customWidth="1"/>
    <col min="11" max="11" width="9" customWidth="1"/>
    <col min="12" max="12" width="12.5" customWidth="1"/>
  </cols>
  <sheetData>
    <row r="1" spans="1:8">
      <c r="A1" s="216" t="s">
        <v>719</v>
      </c>
      <c r="B1" s="188" t="s">
        <v>721</v>
      </c>
      <c r="C1" s="196" t="str">
        <f>"+"</f>
        <v>+</v>
      </c>
      <c r="D1" s="216" t="s">
        <v>720</v>
      </c>
      <c r="E1" s="188" t="s">
        <v>722</v>
      </c>
      <c r="F1" s="208" t="str">
        <f>"="</f>
        <v>=</v>
      </c>
      <c r="G1" s="220" t="s">
        <v>718</v>
      </c>
      <c r="H1" s="212" t="s">
        <v>44</v>
      </c>
    </row>
    <row r="2" spans="1:8">
      <c r="A2" s="217" t="str" cm="1">
        <f t="array" ref="A2">INDEX(AbilityParams!$1:$1,0,MATCH(B2,AbilityParams!$2:$2,0))</f>
        <v>10a0</v>
      </c>
      <c r="B2" t="s">
        <v>731</v>
      </c>
      <c r="C2" s="197" t="str">
        <f t="shared" ref="C2:C12" si="0">"+"</f>
        <v>+</v>
      </c>
      <c r="D2" s="217" cm="1">
        <f t="array" ref="D2">INDEX(AbilityParams!$1:$1,0,MATCH(E2,AbilityParams!$2:$2,0))</f>
        <v>1030</v>
      </c>
      <c r="E2" t="s">
        <v>48</v>
      </c>
      <c r="F2" s="209" t="str">
        <f t="shared" ref="F2:F12" si="1">"="</f>
        <v>=</v>
      </c>
      <c r="G2" s="217" cm="1">
        <f t="array" ref="G2">INDEX(AbilityParams!$1:$1,0,MATCH(H2,AbilityParams!$2:$2,0))</f>
        <v>2070</v>
      </c>
      <c r="H2" s="213" t="s">
        <v>154</v>
      </c>
    </row>
    <row r="3" spans="1:8">
      <c r="A3" s="217" t="str" cm="1">
        <f t="array" ref="A3">INDEX(AbilityParams!$1:$1,0,MATCH(B3,AbilityParams!$2:$2,0))</f>
        <v>10p0</v>
      </c>
      <c r="B3" t="s">
        <v>157</v>
      </c>
      <c r="C3" s="197" t="str">
        <f t="shared" si="0"/>
        <v>+</v>
      </c>
      <c r="D3" s="217" t="str" cm="1">
        <f t="array" ref="D3">INDEX(AbilityParams!$1:$1,0,MATCH(E3,AbilityParams!$2:$2,0))</f>
        <v>10e0</v>
      </c>
      <c r="E3" t="s">
        <v>93</v>
      </c>
      <c r="F3" s="209" t="str">
        <f t="shared" si="1"/>
        <v>=</v>
      </c>
      <c r="G3" s="217" cm="1">
        <f t="array" ref="G3">INDEX(AbilityParams!$1:$1,0,MATCH(H3,AbilityParams!$2:$2,0))</f>
        <v>2090</v>
      </c>
      <c r="H3" s="213" t="s">
        <v>730</v>
      </c>
    </row>
    <row r="4" spans="1:8">
      <c r="A4" s="217" t="str" cm="1">
        <f t="array" ref="A4">INDEX(AbilityParams!$1:$1,0,MATCH(B4,AbilityParams!$2:$2,0))</f>
        <v>10s0</v>
      </c>
      <c r="B4" t="s">
        <v>134</v>
      </c>
      <c r="C4" s="197" t="str">
        <f t="shared" si="0"/>
        <v>+</v>
      </c>
      <c r="D4" s="217" cm="1">
        <f t="array" ref="D4">INDEX(AbilityParams!$1:$1,0,MATCH(E4,AbilityParams!$2:$2,0))</f>
        <v>1080</v>
      </c>
      <c r="E4" t="s">
        <v>57</v>
      </c>
      <c r="F4" s="209" t="str">
        <f t="shared" si="1"/>
        <v>=</v>
      </c>
      <c r="G4" s="217" cm="1">
        <f t="array" ref="G4">INDEX(AbilityParams!$1:$1,0,MATCH(H4,AbilityParams!$2:$2,0))</f>
        <v>2060</v>
      </c>
      <c r="H4" s="213" t="s">
        <v>152</v>
      </c>
    </row>
    <row r="5" spans="1:8">
      <c r="A5" s="217" t="str" cm="1">
        <f t="array" ref="A5">INDEX(AbilityParams!$1:$1,0,MATCH(B5,AbilityParams!$2:$2,0))</f>
        <v>10s0</v>
      </c>
      <c r="B5" t="s">
        <v>134</v>
      </c>
      <c r="C5" s="197" t="str">
        <f t="shared" si="0"/>
        <v>+</v>
      </c>
      <c r="D5" s="217" t="str" cm="1">
        <f t="array" ref="D5">INDEX(AbilityParams!$1:$1,0,MATCH(E5,AbilityParams!$2:$2,0))</f>
        <v>10a0</v>
      </c>
      <c r="E5" t="s">
        <v>731</v>
      </c>
      <c r="F5" s="209" t="str">
        <f t="shared" si="1"/>
        <v>=</v>
      </c>
      <c r="G5" s="217" cm="1">
        <f t="array" ref="G5">INDEX(AbilityParams!$1:$1,0,MATCH(H5,AbilityParams!$2:$2,0))</f>
        <v>2030</v>
      </c>
      <c r="H5" s="213" t="s">
        <v>138</v>
      </c>
    </row>
    <row r="6" spans="1:8">
      <c r="A6" s="217" t="str" cm="1">
        <f t="array" ref="A6">INDEX(AbilityParams!$1:$1,0,MATCH(B6,AbilityParams!$2:$2,0))</f>
        <v>10q0</v>
      </c>
      <c r="B6" t="s">
        <v>738</v>
      </c>
      <c r="C6" s="197" t="str">
        <f t="shared" si="0"/>
        <v>+</v>
      </c>
      <c r="D6" s="217" t="str" cm="1">
        <f t="array" ref="D6">INDEX(AbilityParams!$1:$1,0,MATCH(E6,AbilityParams!$2:$2,0))</f>
        <v>10w0</v>
      </c>
      <c r="E6" t="s">
        <v>127</v>
      </c>
      <c r="F6" s="209" t="str">
        <f t="shared" si="1"/>
        <v>=</v>
      </c>
      <c r="G6" s="217" t="str" cm="1">
        <f t="array" ref="G6">INDEX(AbilityParams!$1:$1,0,MATCH(H6,AbilityParams!$2:$2,0))</f>
        <v>20f0</v>
      </c>
      <c r="H6" s="213" t="s">
        <v>168</v>
      </c>
    </row>
    <row r="7" spans="1:8">
      <c r="A7" s="217" t="str" cm="1">
        <f t="array" ref="A7">INDEX(AbilityParams!$1:$1,0,MATCH(B7,AbilityParams!$2:$2,0))</f>
        <v>10p0</v>
      </c>
      <c r="B7" t="s">
        <v>157</v>
      </c>
      <c r="C7" s="197" t="str">
        <f t="shared" si="0"/>
        <v>+</v>
      </c>
      <c r="D7" s="217" t="str" cm="1">
        <f t="array" ref="D7">INDEX(AbilityParams!$1:$1,0,MATCH(E7,AbilityParams!$2:$2,0))</f>
        <v>10b0</v>
      </c>
      <c r="E7" t="s">
        <v>72</v>
      </c>
      <c r="F7" s="209" t="str">
        <f t="shared" si="1"/>
        <v>=</v>
      </c>
      <c r="G7" s="217" t="str" cm="1">
        <f t="array" ref="G7">INDEX(AbilityParams!$1:$1,0,MATCH(H7,AbilityParams!$2:$2,0))</f>
        <v>20e0</v>
      </c>
      <c r="H7" s="213" t="s">
        <v>165</v>
      </c>
    </row>
    <row r="8" spans="1:8">
      <c r="A8" s="217" t="str" cm="1">
        <f t="array" ref="A8">INDEX(AbilityParams!$1:$1,0,MATCH(B8,AbilityParams!$2:$2,0))</f>
        <v>10i0</v>
      </c>
      <c r="B8" t="s">
        <v>107</v>
      </c>
      <c r="C8" s="197" t="str">
        <f t="shared" si="0"/>
        <v>+</v>
      </c>
      <c r="D8" s="217" cm="1">
        <f t="array" ref="D8">INDEX(AbilityParams!$1:$1,0,MATCH(E8,AbilityParams!$2:$2,0))</f>
        <v>2060</v>
      </c>
      <c r="E8" t="s">
        <v>152</v>
      </c>
      <c r="F8" s="209" t="str">
        <f t="shared" si="1"/>
        <v>=</v>
      </c>
      <c r="G8" s="217" t="str" cm="1">
        <f t="array" ref="G8">INDEX(AbilityParams!$1:$1,0,MATCH(H8,AbilityParams!$2:$2,0))</f>
        <v>3000</v>
      </c>
      <c r="H8" s="213" t="s">
        <v>187</v>
      </c>
    </row>
    <row r="9" spans="1:8">
      <c r="A9" s="217" cm="1">
        <f t="array" ref="A9">INDEX(AbilityParams!$1:$1,0,MATCH(B9,AbilityParams!$2:$2,0))</f>
        <v>1020</v>
      </c>
      <c r="B9" t="s">
        <v>47</v>
      </c>
      <c r="C9" s="197" t="str">
        <f t="shared" si="0"/>
        <v>+</v>
      </c>
      <c r="D9" s="217" cm="1">
        <f t="array" ref="D9">INDEX(AbilityParams!$1:$1,0,MATCH(E9,AbilityParams!$2:$2,0))</f>
        <v>2060</v>
      </c>
      <c r="E9" t="s">
        <v>152</v>
      </c>
      <c r="F9" s="209" t="str">
        <f t="shared" si="1"/>
        <v>=</v>
      </c>
      <c r="G9" s="217" t="str" cm="1">
        <f t="array" ref="G9">INDEX(AbilityParams!$1:$1,0,MATCH(H9,AbilityParams!$2:$2,0))</f>
        <v>3000</v>
      </c>
      <c r="H9" s="213" t="s">
        <v>187</v>
      </c>
    </row>
    <row r="10" spans="1:8">
      <c r="A10" s="217" t="str" cm="1">
        <f t="array" ref="A10">INDEX(AbilityParams!$1:$1,0,MATCH(B10,AbilityParams!$2:$2,0))</f>
        <v>10r0</v>
      </c>
      <c r="B10" t="s">
        <v>133</v>
      </c>
      <c r="C10" s="197" t="str">
        <f t="shared" si="0"/>
        <v>+</v>
      </c>
      <c r="D10" s="217" t="str" cm="1">
        <f t="array" ref="D10">INDEX(AbilityParams!$1:$1,0,MATCH(E10,AbilityParams!$2:$2,0))</f>
        <v>20m0</v>
      </c>
      <c r="E10" t="s">
        <v>605</v>
      </c>
      <c r="F10" s="209" t="str">
        <f t="shared" si="1"/>
        <v>=</v>
      </c>
      <c r="G10" s="217" t="str" cm="1">
        <f t="array" ref="G10">INDEX(AbilityParams!$1:$1,0,MATCH(H10,AbilityParams!$2:$2,0))</f>
        <v>3060</v>
      </c>
      <c r="H10" s="213" t="s">
        <v>206</v>
      </c>
    </row>
    <row r="11" spans="1:8">
      <c r="A11" s="217" cm="1">
        <f t="array" ref="A11">INDEX(AbilityParams!$1:$1,0,MATCH(B11,AbilityParams!$2:$2,0))</f>
        <v>1070</v>
      </c>
      <c r="B11" t="s">
        <v>52</v>
      </c>
      <c r="C11" s="197" t="s">
        <v>858</v>
      </c>
      <c r="D11" s="217" t="str" cm="1">
        <f t="array" ref="D11">INDEX(AbilityParams!$1:$1,0,MATCH(E11,AbilityParams!$2:$2,0))</f>
        <v>20f0</v>
      </c>
      <c r="E11" t="s">
        <v>168</v>
      </c>
      <c r="F11" s="209" t="str">
        <f t="shared" si="1"/>
        <v>=</v>
      </c>
      <c r="G11" s="217" t="str" cm="1">
        <f t="array" ref="G11">INDEX(AbilityParams!$1:$1,0,MATCH(H11,AbilityParams!$2:$2,0))</f>
        <v>3080</v>
      </c>
      <c r="H11" s="213" t="s">
        <v>859</v>
      </c>
    </row>
    <row r="12" spans="1:8">
      <c r="A12" s="217" t="str" cm="1">
        <f t="array" ref="A12">INDEX(AbilityParams!$1:$1,0,MATCH(B12,AbilityParams!$2:$2,0))</f>
        <v>3000</v>
      </c>
      <c r="B12" t="s">
        <v>187</v>
      </c>
      <c r="C12" s="197" t="str">
        <f t="shared" si="0"/>
        <v>+</v>
      </c>
      <c r="D12" s="217" cm="1">
        <f t="array" ref="D12">INDEX(AbilityParams!$1:$1,0,MATCH(E12,AbilityParams!$2:$2,0))</f>
        <v>1030</v>
      </c>
      <c r="E12" t="s">
        <v>48</v>
      </c>
      <c r="F12" s="209" t="str">
        <f t="shared" si="1"/>
        <v>=</v>
      </c>
      <c r="G12" s="217" t="str" cm="1">
        <f t="array" ref="G12">INDEX(AbilityParams!$1:$1,0,MATCH(H12,AbilityParams!$2:$2,0))</f>
        <v>4000</v>
      </c>
      <c r="H12" s="213" t="s">
        <v>210</v>
      </c>
    </row>
    <row r="13" spans="1:8">
      <c r="C13" s="214"/>
      <c r="D13" s="217"/>
      <c r="F13" s="214"/>
    </row>
    <row r="14" spans="1:8">
      <c r="C14" s="214"/>
      <c r="F14" s="214"/>
    </row>
    <row r="15" spans="1:8">
      <c r="A15" s="219"/>
      <c r="B15" s="210"/>
      <c r="C15" s="211"/>
      <c r="D15" s="219"/>
      <c r="E15" s="210"/>
      <c r="F15" s="211"/>
      <c r="G15" s="219"/>
      <c r="H15" s="210"/>
    </row>
  </sheetData>
  <phoneticPr fontId="3" type="noConversion"/>
  <conditionalFormatting sqref="C1 B1:B1048576 H1:H1048576 J1:J1048576 L1:L1048576 C15:C1048576 E1:F1048576">
    <cfRule type="expression" dxfId="11" priority="7">
      <formula>MID(A1,1,1)="5"</formula>
    </cfRule>
    <cfRule type="expression" dxfId="10" priority="8">
      <formula>MID(A1,1,1)="4"</formula>
    </cfRule>
    <cfRule type="expression" dxfId="9" priority="9">
      <formula>MID(A1,1,1)="3"</formula>
    </cfRule>
    <cfRule type="expression" dxfId="8" priority="10">
      <formula>MID(A1,1,1)="2"</formula>
    </cfRule>
    <cfRule type="expression" dxfId="7" priority="11">
      <formula>MID(A1,1,1)="1"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3684B-26F0-48AD-9220-25F8EBBE7936}">
  <dimension ref="A1:E75"/>
  <sheetViews>
    <sheetView workbookViewId="0">
      <selection activeCell="O28" sqref="O28"/>
    </sheetView>
  </sheetViews>
  <sheetFormatPr defaultRowHeight="16.5"/>
  <cols>
    <col min="1" max="1" width="26.75" customWidth="1"/>
    <col min="2" max="2" width="7.75" style="221" customWidth="1"/>
    <col min="3" max="3" width="16" customWidth="1"/>
    <col min="4" max="4" width="7.25" customWidth="1"/>
    <col min="5" max="5" width="12.25" customWidth="1"/>
    <col min="8" max="8" width="12.375" customWidth="1"/>
    <col min="10" max="10" width="10.75" customWidth="1"/>
  </cols>
  <sheetData>
    <row r="1" spans="1:5" s="215" customFormat="1">
      <c r="A1" s="215" t="s">
        <v>1340</v>
      </c>
      <c r="B1" s="297" t="s">
        <v>1799</v>
      </c>
      <c r="C1" s="297" t="s">
        <v>1798</v>
      </c>
      <c r="D1" s="297" t="s">
        <v>1794</v>
      </c>
      <c r="E1" s="215" t="s">
        <v>1800</v>
      </c>
    </row>
    <row r="2" spans="1:5">
      <c r="A2" t="s">
        <v>1788</v>
      </c>
      <c r="B2" s="221" cm="1">
        <f t="array" ref="B2">INDEX(AbilityParams!$1:$1,0,MATCH(C2,AbilityParams!$2:$2,0))</f>
        <v>1000</v>
      </c>
      <c r="C2" s="2" t="s">
        <v>752</v>
      </c>
      <c r="D2" t="b">
        <v>0</v>
      </c>
      <c r="E2">
        <v>1</v>
      </c>
    </row>
    <row r="3" spans="1:5">
      <c r="A3" t="s">
        <v>1788</v>
      </c>
      <c r="B3" s="221" cm="1">
        <f t="array" ref="B3">INDEX(AbilityParams!$1:$1,0,MATCH(C3,AbilityParams!$2:$2,0))</f>
        <v>1010</v>
      </c>
      <c r="C3" s="2" t="s">
        <v>893</v>
      </c>
      <c r="D3" t="b">
        <v>0</v>
      </c>
      <c r="E3">
        <v>1</v>
      </c>
    </row>
    <row r="4" spans="1:5">
      <c r="A4" t="s">
        <v>1788</v>
      </c>
      <c r="B4" s="221" cm="1">
        <f t="array" ref="B4">INDEX(AbilityParams!$1:$1,0,MATCH(C4,AbilityParams!$2:$2,0))</f>
        <v>1020</v>
      </c>
      <c r="C4" s="2" t="s">
        <v>894</v>
      </c>
      <c r="D4" t="b">
        <v>0</v>
      </c>
      <c r="E4">
        <v>1</v>
      </c>
    </row>
    <row r="5" spans="1:5">
      <c r="A5" t="s">
        <v>1788</v>
      </c>
      <c r="B5" s="221" cm="1">
        <f t="array" ref="B5">INDEX(AbilityParams!$1:$1,0,MATCH(C5,AbilityParams!$2:$2,0))</f>
        <v>1030</v>
      </c>
      <c r="C5" s="2" t="s">
        <v>895</v>
      </c>
      <c r="D5" t="b">
        <v>0</v>
      </c>
      <c r="E5">
        <v>1</v>
      </c>
    </row>
    <row r="6" spans="1:5">
      <c r="A6" t="s">
        <v>1788</v>
      </c>
      <c r="B6" s="221" cm="1">
        <f t="array" ref="B6">INDEX(AbilityParams!$1:$1,0,MATCH(C6,AbilityParams!$2:$2,0))</f>
        <v>1040</v>
      </c>
      <c r="C6" s="2" t="s">
        <v>896</v>
      </c>
      <c r="D6" t="b">
        <v>0</v>
      </c>
      <c r="E6">
        <v>1</v>
      </c>
    </row>
    <row r="7" spans="1:5">
      <c r="A7" t="s">
        <v>1788</v>
      </c>
      <c r="B7" s="221" cm="1">
        <f t="array" ref="B7">INDEX(AbilityParams!$1:$1,0,MATCH(C7,AbilityParams!$2:$2,0))</f>
        <v>1050</v>
      </c>
      <c r="C7" s="2" t="s">
        <v>897</v>
      </c>
      <c r="D7" t="b">
        <v>1</v>
      </c>
      <c r="E7">
        <v>1</v>
      </c>
    </row>
    <row r="8" spans="1:5">
      <c r="A8" t="s">
        <v>1788</v>
      </c>
      <c r="B8" s="221" cm="1">
        <f t="array" ref="B8">INDEX(AbilityParams!$1:$1,0,MATCH(C8,AbilityParams!$2:$2,0))</f>
        <v>1060</v>
      </c>
      <c r="C8" s="2" t="s">
        <v>898</v>
      </c>
      <c r="D8" t="b">
        <v>0</v>
      </c>
      <c r="E8">
        <v>1</v>
      </c>
    </row>
    <row r="9" spans="1:5">
      <c r="A9" t="s">
        <v>1788</v>
      </c>
      <c r="B9" s="221" cm="1">
        <f t="array" ref="B9">INDEX(AbilityParams!$1:$1,0,MATCH(C9,AbilityParams!$2:$2,0))</f>
        <v>1070</v>
      </c>
      <c r="C9" s="2" t="s">
        <v>899</v>
      </c>
      <c r="D9" t="b">
        <v>0</v>
      </c>
      <c r="E9">
        <v>1</v>
      </c>
    </row>
    <row r="10" spans="1:5">
      <c r="A10" t="s">
        <v>1788</v>
      </c>
      <c r="B10" s="221" cm="1">
        <f t="array" ref="B10">INDEX(AbilityParams!$1:$1,0,MATCH(C10,AbilityParams!$2:$2,0))</f>
        <v>1080</v>
      </c>
      <c r="C10" s="2" t="s">
        <v>900</v>
      </c>
      <c r="D10" t="b">
        <v>0</v>
      </c>
      <c r="E10">
        <v>1</v>
      </c>
    </row>
    <row r="11" spans="1:5">
      <c r="A11" t="s">
        <v>1788</v>
      </c>
      <c r="B11" s="221" cm="1">
        <f t="array" ref="B11">INDEX(AbilityParams!$1:$1,0,MATCH(C11,AbilityParams!$2:$2,0))</f>
        <v>1090</v>
      </c>
      <c r="C11" s="2" t="s">
        <v>750</v>
      </c>
      <c r="D11" t="b">
        <v>1</v>
      </c>
      <c r="E11">
        <v>1</v>
      </c>
    </row>
    <row r="12" spans="1:5">
      <c r="A12" t="s">
        <v>1788</v>
      </c>
      <c r="B12" s="221" t="str" cm="1">
        <f t="array" ref="B12">INDEX(AbilityParams!$1:$1,0,MATCH(C12,AbilityParams!$2:$2,0))</f>
        <v>10a0</v>
      </c>
      <c r="C12" s="2" t="s">
        <v>748</v>
      </c>
      <c r="D12" t="b">
        <v>1</v>
      </c>
      <c r="E12">
        <v>1</v>
      </c>
    </row>
    <row r="13" spans="1:5">
      <c r="A13" t="s">
        <v>1788</v>
      </c>
      <c r="B13" s="221" t="str" cm="1">
        <f t="array" ref="B13">INDEX(AbilityParams!$1:$1,0,MATCH(C13,AbilityParams!$2:$2,0))</f>
        <v>10b0</v>
      </c>
      <c r="C13" s="2" t="s">
        <v>754</v>
      </c>
      <c r="D13" t="b">
        <v>0</v>
      </c>
      <c r="E13">
        <v>1</v>
      </c>
    </row>
    <row r="14" spans="1:5">
      <c r="A14" t="s">
        <v>1788</v>
      </c>
      <c r="B14" s="221" t="str" cm="1">
        <f t="array" ref="B14">INDEX(AbilityParams!$1:$1,0,MATCH(C14,AbilityParams!$2:$2,0))</f>
        <v>10c0</v>
      </c>
      <c r="C14" s="2" t="s">
        <v>901</v>
      </c>
      <c r="D14" t="b">
        <v>0</v>
      </c>
      <c r="E14">
        <v>1</v>
      </c>
    </row>
    <row r="15" spans="1:5">
      <c r="A15" t="s">
        <v>1788</v>
      </c>
      <c r="B15" s="221" t="str" cm="1">
        <f t="array" ref="B15">INDEX(AbilityParams!$1:$1,0,MATCH(C15,AbilityParams!$2:$2,0))</f>
        <v>10d0</v>
      </c>
      <c r="C15" s="2" t="s">
        <v>902</v>
      </c>
      <c r="D15" t="b">
        <v>0</v>
      </c>
      <c r="E15">
        <v>1</v>
      </c>
    </row>
    <row r="16" spans="1:5">
      <c r="A16" t="s">
        <v>1788</v>
      </c>
      <c r="B16" s="221" t="str" cm="1">
        <f t="array" ref="B16">INDEX(AbilityParams!$1:$1,0,MATCH(C16,AbilityParams!$2:$2,0))</f>
        <v>10e0</v>
      </c>
      <c r="C16" s="2" t="s">
        <v>903</v>
      </c>
      <c r="D16" t="b">
        <v>1</v>
      </c>
      <c r="E16">
        <v>1</v>
      </c>
    </row>
    <row r="17" spans="1:5">
      <c r="A17" t="s">
        <v>1788</v>
      </c>
      <c r="B17" s="221" t="str" cm="1">
        <f t="array" ref="B17">INDEX(AbilityParams!$1:$1,0,MATCH(C17,AbilityParams!$2:$2,0))</f>
        <v>10f0</v>
      </c>
      <c r="C17" s="2" t="s">
        <v>904</v>
      </c>
      <c r="D17" t="b">
        <v>0</v>
      </c>
      <c r="E17">
        <v>1</v>
      </c>
    </row>
    <row r="18" spans="1:5">
      <c r="A18" t="s">
        <v>1788</v>
      </c>
      <c r="B18" s="221" t="str" cm="1">
        <f t="array" ref="B18">INDEX(AbilityParams!$1:$1,0,MATCH(C18,AbilityParams!$2:$2,0))</f>
        <v>10g0</v>
      </c>
      <c r="C18" s="2" t="s">
        <v>905</v>
      </c>
      <c r="D18" t="b">
        <v>0</v>
      </c>
      <c r="E18">
        <v>1</v>
      </c>
    </row>
    <row r="19" spans="1:5">
      <c r="A19" t="s">
        <v>1788</v>
      </c>
      <c r="B19" s="221" t="str" cm="1">
        <f t="array" ref="B19">INDEX(AbilityParams!$1:$1,0,MATCH(C19,AbilityParams!$2:$2,0))</f>
        <v>10h0</v>
      </c>
      <c r="C19" s="2" t="s">
        <v>906</v>
      </c>
      <c r="D19" t="b">
        <v>0</v>
      </c>
      <c r="E19">
        <v>1</v>
      </c>
    </row>
    <row r="20" spans="1:5">
      <c r="A20" t="s">
        <v>1788</v>
      </c>
      <c r="B20" s="221" t="str" cm="1">
        <f t="array" ref="B20">INDEX(AbilityParams!$1:$1,0,MATCH(C20,AbilityParams!$2:$2,0))</f>
        <v>10i0</v>
      </c>
      <c r="C20" s="2" t="s">
        <v>907</v>
      </c>
      <c r="D20" t="b">
        <v>0</v>
      </c>
      <c r="E20">
        <v>1</v>
      </c>
    </row>
    <row r="21" spans="1:5">
      <c r="A21" t="s">
        <v>1788</v>
      </c>
      <c r="B21" s="221" t="str" cm="1">
        <f t="array" ref="B21">INDEX(AbilityParams!$1:$1,0,MATCH(C21,AbilityParams!$2:$2,0))</f>
        <v>10j0</v>
      </c>
      <c r="C21" s="2" t="s">
        <v>908</v>
      </c>
      <c r="D21" t="b">
        <v>0</v>
      </c>
      <c r="E21">
        <v>1</v>
      </c>
    </row>
    <row r="22" spans="1:5">
      <c r="A22" t="s">
        <v>1788</v>
      </c>
      <c r="B22" s="221" t="str" cm="1">
        <f t="array" ref="B22">INDEX(AbilityParams!$1:$1,0,MATCH(C22,AbilityParams!$2:$2,0))</f>
        <v>10k0</v>
      </c>
      <c r="C22" s="2" t="s">
        <v>755</v>
      </c>
      <c r="D22" t="b">
        <v>1</v>
      </c>
      <c r="E22">
        <v>1</v>
      </c>
    </row>
    <row r="23" spans="1:5">
      <c r="A23" t="s">
        <v>1788</v>
      </c>
      <c r="B23" s="221" t="str" cm="1">
        <f t="array" ref="B23">INDEX(AbilityParams!$1:$1,0,MATCH(C23,AbilityParams!$2:$2,0))</f>
        <v>10l0</v>
      </c>
      <c r="C23" s="2" t="s">
        <v>909</v>
      </c>
      <c r="D23" t="b">
        <v>0</v>
      </c>
      <c r="E23">
        <v>1</v>
      </c>
    </row>
    <row r="24" spans="1:5">
      <c r="A24" t="s">
        <v>1788</v>
      </c>
      <c r="B24" s="221" t="str" cm="1">
        <f t="array" ref="B24">INDEX(AbilityParams!$1:$1,0,MATCH(C24,AbilityParams!$2:$2,0))</f>
        <v>10m0</v>
      </c>
      <c r="C24" s="2" t="s">
        <v>756</v>
      </c>
      <c r="D24" t="b">
        <v>0</v>
      </c>
      <c r="E24">
        <v>1</v>
      </c>
    </row>
    <row r="25" spans="1:5">
      <c r="A25" t="s">
        <v>1788</v>
      </c>
      <c r="B25" s="221" t="str" cm="1">
        <f t="array" ref="B25">INDEX(AbilityParams!$1:$1,0,MATCH(C25,AbilityParams!$2:$2,0))</f>
        <v>10n0</v>
      </c>
      <c r="C25" s="2" t="s">
        <v>751</v>
      </c>
      <c r="D25" t="b">
        <v>0</v>
      </c>
      <c r="E25">
        <v>1</v>
      </c>
    </row>
    <row r="26" spans="1:5">
      <c r="A26" t="s">
        <v>1788</v>
      </c>
      <c r="B26" s="221" t="str" cm="1">
        <f t="array" ref="B26">INDEX(AbilityParams!$1:$1,0,MATCH(C26,AbilityParams!$2:$2,0))</f>
        <v>10o0</v>
      </c>
      <c r="C26" s="2" t="s">
        <v>757</v>
      </c>
      <c r="D26" t="b">
        <v>1</v>
      </c>
      <c r="E26">
        <v>1</v>
      </c>
    </row>
    <row r="27" spans="1:5">
      <c r="A27" t="s">
        <v>1788</v>
      </c>
      <c r="B27" s="221" t="str" cm="1">
        <f t="array" ref="B27">INDEX(AbilityParams!$1:$1,0,MATCH(C27,AbilityParams!$2:$2,0))</f>
        <v>10p0</v>
      </c>
      <c r="C27" s="2" t="s">
        <v>910</v>
      </c>
      <c r="D27" t="b">
        <v>1</v>
      </c>
      <c r="E27">
        <v>1</v>
      </c>
    </row>
    <row r="28" spans="1:5">
      <c r="A28" t="s">
        <v>1788</v>
      </c>
      <c r="B28" s="221" t="str" cm="1">
        <f t="array" ref="B28">INDEX(AbilityParams!$1:$1,0,MATCH(C28,AbilityParams!$2:$2,0))</f>
        <v>10q0</v>
      </c>
      <c r="C28" s="2" t="s">
        <v>911</v>
      </c>
      <c r="D28" t="b">
        <v>1</v>
      </c>
      <c r="E28">
        <v>1</v>
      </c>
    </row>
    <row r="29" spans="1:5">
      <c r="A29" t="s">
        <v>1788</v>
      </c>
      <c r="B29" s="221" t="str" cm="1">
        <f t="array" ref="B29">INDEX(AbilityParams!$1:$1,0,MATCH(C29,AbilityParams!$2:$2,0))</f>
        <v>10r0</v>
      </c>
      <c r="C29" s="2" t="s">
        <v>912</v>
      </c>
      <c r="D29" t="b">
        <v>1</v>
      </c>
      <c r="E29">
        <v>1</v>
      </c>
    </row>
    <row r="30" spans="1:5">
      <c r="A30" t="s">
        <v>1788</v>
      </c>
      <c r="B30" s="221" t="str" cm="1">
        <f t="array" ref="B30">INDEX(AbilityParams!$1:$1,0,MATCH(C30,AbilityParams!$2:$2,0))</f>
        <v>10s0</v>
      </c>
      <c r="C30" s="2" t="s">
        <v>913</v>
      </c>
      <c r="D30" t="b">
        <v>1</v>
      </c>
      <c r="E30">
        <v>1</v>
      </c>
    </row>
    <row r="31" spans="1:5">
      <c r="A31" t="s">
        <v>1788</v>
      </c>
      <c r="B31" s="221" t="str" cm="1">
        <f t="array" ref="B31">INDEX(AbilityParams!$1:$1,0,MATCH(C31,AbilityParams!$2:$2,0))</f>
        <v>10t0</v>
      </c>
      <c r="C31" s="2" t="s">
        <v>914</v>
      </c>
      <c r="D31" t="b">
        <v>1</v>
      </c>
      <c r="E31">
        <v>1</v>
      </c>
    </row>
    <row r="32" spans="1:5">
      <c r="A32" t="s">
        <v>1788</v>
      </c>
      <c r="B32" s="221" t="str" cm="1">
        <f t="array" ref="B32">INDEX(AbilityParams!$1:$1,0,MATCH(C32,AbilityParams!$2:$2,0))</f>
        <v>10u0</v>
      </c>
      <c r="C32" s="2" t="s">
        <v>758</v>
      </c>
      <c r="D32" t="b">
        <v>0</v>
      </c>
      <c r="E32">
        <v>1</v>
      </c>
    </row>
    <row r="33" spans="1:5">
      <c r="A33" t="s">
        <v>1788</v>
      </c>
      <c r="B33" s="221" t="str" cm="1">
        <f t="array" ref="B33">INDEX(AbilityParams!$1:$1,0,MATCH(C33,AbilityParams!$2:$2,0))</f>
        <v>10v0</v>
      </c>
      <c r="C33" s="2" t="s">
        <v>759</v>
      </c>
      <c r="D33" t="b">
        <v>0</v>
      </c>
      <c r="E33">
        <v>1</v>
      </c>
    </row>
    <row r="34" spans="1:5">
      <c r="A34" t="s">
        <v>1788</v>
      </c>
      <c r="B34" s="221" t="str" cm="1">
        <f t="array" ref="B34">INDEX(AbilityParams!$1:$1,0,MATCH(C34,AbilityParams!$2:$2,0))</f>
        <v>10w0</v>
      </c>
      <c r="C34" s="2" t="s">
        <v>760</v>
      </c>
      <c r="D34" t="b">
        <v>0</v>
      </c>
      <c r="E34">
        <v>1</v>
      </c>
    </row>
    <row r="35" spans="1:5">
      <c r="A35" t="s">
        <v>1788</v>
      </c>
      <c r="B35" s="221" t="str" cm="1">
        <f t="array" ref="B35">INDEX(AbilityParams!$1:$1,0,MATCH(C35,AbilityParams!$2:$2,0))</f>
        <v>10x0</v>
      </c>
      <c r="C35" s="2" t="s">
        <v>761</v>
      </c>
      <c r="D35" t="b">
        <v>0</v>
      </c>
      <c r="E35">
        <v>1</v>
      </c>
    </row>
    <row r="36" spans="1:5">
      <c r="A36" t="s">
        <v>1788</v>
      </c>
      <c r="B36" s="221" t="str" cm="1">
        <f t="array" ref="B36">INDEX(AbilityParams!$1:$1,0,MATCH(C36,AbilityParams!$2:$2,0))</f>
        <v>10y0</v>
      </c>
      <c r="C36" t="s">
        <v>762</v>
      </c>
      <c r="D36" t="b">
        <v>0</v>
      </c>
      <c r="E36">
        <v>1</v>
      </c>
    </row>
    <row r="37" spans="1:5">
      <c r="A37" t="s">
        <v>1788</v>
      </c>
      <c r="B37" s="221" t="str" cm="1">
        <f t="array" ref="B37">INDEX(AbilityParams!$1:$1,0,MATCH(C37,AbilityParams!$2:$2,0))</f>
        <v>10z0</v>
      </c>
      <c r="C37" t="s">
        <v>915</v>
      </c>
      <c r="D37" t="b">
        <v>1</v>
      </c>
      <c r="E37">
        <v>1</v>
      </c>
    </row>
    <row r="38" spans="1:5">
      <c r="A38" t="s">
        <v>1788</v>
      </c>
      <c r="B38" s="221" t="str" cm="1">
        <f t="array" ref="B38">INDEX(AbilityParams!$1:$1,0,MATCH(C38,AbilityParams!$2:$2,0))</f>
        <v>10A0</v>
      </c>
      <c r="C38" t="s">
        <v>916</v>
      </c>
      <c r="D38" t="b">
        <v>1</v>
      </c>
      <c r="E38">
        <v>1</v>
      </c>
    </row>
    <row r="39" spans="1:5">
      <c r="A39" t="s">
        <v>1788</v>
      </c>
      <c r="B39" s="221" t="str" cm="1">
        <f t="array" ref="B39">INDEX(AbilityParams!$1:$1,0,MATCH(C39,AbilityParams!$2:$2,0))</f>
        <v>10B0</v>
      </c>
      <c r="C39" t="s">
        <v>917</v>
      </c>
      <c r="D39" t="b">
        <v>1</v>
      </c>
      <c r="E39">
        <v>1</v>
      </c>
    </row>
    <row r="40" spans="1:5">
      <c r="A40" t="s">
        <v>1788</v>
      </c>
      <c r="B40" s="221" t="str" cm="1">
        <f t="array" ref="B40">INDEX(AbilityParams!$1:$1,0,MATCH(C40,AbilityParams!$2:$2,0))</f>
        <v>10C0</v>
      </c>
      <c r="C40" t="s">
        <v>918</v>
      </c>
      <c r="D40" t="b">
        <v>0</v>
      </c>
      <c r="E40">
        <v>1</v>
      </c>
    </row>
    <row r="41" spans="1:5">
      <c r="A41" t="s">
        <v>1793</v>
      </c>
      <c r="B41" s="221" cm="1">
        <f t="array" ref="B41">INDEX(AbilityParams!$1:$1,0,MATCH(C41,AbilityParams!$2:$2,0))</f>
        <v>2000</v>
      </c>
      <c r="C41" s="2" t="s">
        <v>137</v>
      </c>
      <c r="D41" t="b">
        <v>1</v>
      </c>
      <c r="E41">
        <v>1</v>
      </c>
    </row>
    <row r="42" spans="1:5">
      <c r="A42" t="s">
        <v>1793</v>
      </c>
      <c r="B42" s="221" cm="1">
        <f t="array" ref="B42">INDEX(AbilityParams!$1:$1,0,MATCH(C42,AbilityParams!$2:$2,0))</f>
        <v>2030</v>
      </c>
      <c r="C42" s="2" t="s">
        <v>138</v>
      </c>
      <c r="D42" t="b">
        <v>0</v>
      </c>
      <c r="E42">
        <v>1</v>
      </c>
    </row>
    <row r="43" spans="1:5">
      <c r="A43" t="s">
        <v>1793</v>
      </c>
      <c r="B43" s="221" cm="1">
        <f t="array" ref="B43">INDEX(AbilityParams!$1:$1,0,MATCH(C43,AbilityParams!$2:$2,0))</f>
        <v>2040</v>
      </c>
      <c r="C43" s="2" t="s">
        <v>140</v>
      </c>
      <c r="D43" t="b">
        <v>0</v>
      </c>
      <c r="E43">
        <v>1</v>
      </c>
    </row>
    <row r="44" spans="1:5">
      <c r="A44" t="s">
        <v>1793</v>
      </c>
      <c r="B44" s="221" cm="1">
        <f t="array" ref="B44">INDEX(AbilityParams!$1:$1,0,MATCH(C44,AbilityParams!$2:$2,0))</f>
        <v>2050</v>
      </c>
      <c r="C44" s="2" t="s">
        <v>144</v>
      </c>
      <c r="D44" t="b">
        <v>0</v>
      </c>
      <c r="E44">
        <v>1</v>
      </c>
    </row>
    <row r="45" spans="1:5">
      <c r="A45" t="s">
        <v>1793</v>
      </c>
      <c r="B45" s="221" cm="1">
        <f t="array" ref="B45">INDEX(AbilityParams!$1:$1,0,MATCH(C45,AbilityParams!$2:$2,0))</f>
        <v>2060</v>
      </c>
      <c r="C45" s="2" t="s">
        <v>152</v>
      </c>
      <c r="D45" t="b">
        <v>0</v>
      </c>
      <c r="E45">
        <v>1</v>
      </c>
    </row>
    <row r="46" spans="1:5">
      <c r="A46" t="s">
        <v>1793</v>
      </c>
      <c r="B46" s="221" cm="1">
        <f t="array" ref="B46">INDEX(AbilityParams!$1:$1,0,MATCH(C46,AbilityParams!$2:$2,0))</f>
        <v>2070</v>
      </c>
      <c r="C46" s="2" t="s">
        <v>154</v>
      </c>
      <c r="D46" t="b">
        <v>0</v>
      </c>
      <c r="E46">
        <v>1</v>
      </c>
    </row>
    <row r="47" spans="1:5">
      <c r="A47" t="s">
        <v>1793</v>
      </c>
      <c r="B47" s="221" cm="1">
        <f t="array" ref="B47">INDEX(AbilityParams!$1:$1,0,MATCH(C47,AbilityParams!$2:$2,0))</f>
        <v>2080</v>
      </c>
      <c r="C47" s="2" t="s">
        <v>156</v>
      </c>
      <c r="D47" t="b">
        <v>0</v>
      </c>
      <c r="E47">
        <v>1</v>
      </c>
    </row>
    <row r="48" spans="1:5">
      <c r="A48" t="s">
        <v>1793</v>
      </c>
      <c r="B48" s="221" cm="1">
        <f t="array" ref="B48">INDEX(AbilityParams!$1:$1,0,MATCH(C48,AbilityParams!$2:$2,0))</f>
        <v>2090</v>
      </c>
      <c r="C48" s="2" t="s">
        <v>730</v>
      </c>
      <c r="D48" t="b">
        <v>0</v>
      </c>
      <c r="E48">
        <v>1</v>
      </c>
    </row>
    <row r="49" spans="1:5">
      <c r="A49" t="s">
        <v>1793</v>
      </c>
      <c r="B49" s="221" t="str" cm="1">
        <f t="array" ref="B49">INDEX(AbilityParams!$1:$1,0,MATCH(C49,AbilityParams!$2:$2,0))</f>
        <v>20a0</v>
      </c>
      <c r="C49" s="2" t="s">
        <v>159</v>
      </c>
      <c r="D49" t="b">
        <v>0</v>
      </c>
      <c r="E49">
        <v>1</v>
      </c>
    </row>
    <row r="50" spans="1:5">
      <c r="A50" t="s">
        <v>1793</v>
      </c>
      <c r="B50" s="221" t="str" cm="1">
        <f t="array" ref="B50">INDEX(AbilityParams!$1:$1,0,MATCH(C50,AbilityParams!$2:$2,0))</f>
        <v>20b0</v>
      </c>
      <c r="C50" s="2" t="s">
        <v>162</v>
      </c>
      <c r="D50" t="b">
        <v>0</v>
      </c>
      <c r="E50">
        <v>1</v>
      </c>
    </row>
    <row r="51" spans="1:5">
      <c r="A51" t="s">
        <v>1793</v>
      </c>
      <c r="B51" s="221" t="str" cm="1">
        <f t="array" ref="B51">INDEX(AbilityParams!$1:$1,0,MATCH(C51,AbilityParams!$2:$2,0))</f>
        <v>20c0</v>
      </c>
      <c r="C51" s="2" t="s">
        <v>163</v>
      </c>
      <c r="D51" t="b">
        <v>0</v>
      </c>
      <c r="E51">
        <v>1</v>
      </c>
    </row>
    <row r="52" spans="1:5">
      <c r="A52" t="s">
        <v>1793</v>
      </c>
      <c r="B52" s="221" t="str" cm="1">
        <f t="array" ref="B52">INDEX(AbilityParams!$1:$1,0,MATCH(C52,AbilityParams!$2:$2,0))</f>
        <v>20d0</v>
      </c>
      <c r="C52" s="2" t="s">
        <v>164</v>
      </c>
      <c r="D52" t="b">
        <v>0</v>
      </c>
      <c r="E52">
        <v>1</v>
      </c>
    </row>
    <row r="53" spans="1:5">
      <c r="A53" t="s">
        <v>1793</v>
      </c>
      <c r="B53" s="221" t="str" cm="1">
        <f t="array" ref="B53">INDEX(AbilityParams!$1:$1,0,MATCH(C53,AbilityParams!$2:$2,0))</f>
        <v>20e0</v>
      </c>
      <c r="C53" s="2" t="s">
        <v>165</v>
      </c>
      <c r="D53" t="b">
        <v>0</v>
      </c>
      <c r="E53">
        <v>1</v>
      </c>
    </row>
    <row r="54" spans="1:5">
      <c r="A54" t="s">
        <v>1793</v>
      </c>
      <c r="B54" s="221" t="str" cm="1">
        <f t="array" ref="B54">INDEX(AbilityParams!$1:$1,0,MATCH(C54,AbilityParams!$2:$2,0))</f>
        <v>20f0</v>
      </c>
      <c r="C54" s="2" t="s">
        <v>168</v>
      </c>
      <c r="D54" t="b">
        <v>0</v>
      </c>
      <c r="E54">
        <v>1</v>
      </c>
    </row>
    <row r="55" spans="1:5">
      <c r="A55" t="s">
        <v>1793</v>
      </c>
      <c r="B55" s="221" t="str" cm="1">
        <f t="array" ref="B55">INDEX(AbilityParams!$1:$1,0,MATCH(C55,AbilityParams!$2:$2,0))</f>
        <v>20g0</v>
      </c>
      <c r="C55" s="2" t="s">
        <v>171</v>
      </c>
      <c r="D55" t="b">
        <v>0</v>
      </c>
      <c r="E55">
        <v>1</v>
      </c>
    </row>
    <row r="56" spans="1:5">
      <c r="A56" t="s">
        <v>1793</v>
      </c>
      <c r="B56" s="221" t="str" cm="1">
        <f t="array" ref="B56">INDEX(AbilityParams!$1:$1,0,MATCH(C56,AbilityParams!$2:$2,0))</f>
        <v>20h0</v>
      </c>
      <c r="C56" s="2" t="s">
        <v>172</v>
      </c>
      <c r="D56" t="b">
        <v>0</v>
      </c>
      <c r="E56">
        <v>1</v>
      </c>
    </row>
    <row r="57" spans="1:5">
      <c r="A57" t="s">
        <v>1793</v>
      </c>
      <c r="B57" s="221" t="str" cm="1">
        <f t="array" ref="B57">INDEX(AbilityParams!$1:$1,0,MATCH(C57,AbilityParams!$2:$2,0))</f>
        <v>20i0</v>
      </c>
      <c r="C57" s="2" t="s">
        <v>174</v>
      </c>
      <c r="D57" t="b">
        <v>0</v>
      </c>
      <c r="E57">
        <v>1</v>
      </c>
    </row>
    <row r="58" spans="1:5">
      <c r="A58" t="s">
        <v>1793</v>
      </c>
      <c r="B58" s="221" t="str" cm="1">
        <f t="array" ref="B58">INDEX(AbilityParams!$1:$1,0,MATCH(C58,AbilityParams!$2:$2,0))</f>
        <v>20j0</v>
      </c>
      <c r="C58" s="2" t="s">
        <v>175</v>
      </c>
      <c r="D58" t="b">
        <v>1</v>
      </c>
      <c r="E58">
        <v>1</v>
      </c>
    </row>
    <row r="59" spans="1:5">
      <c r="A59" t="s">
        <v>1793</v>
      </c>
      <c r="B59" s="221" t="str" cm="1">
        <f t="array" ref="B59">INDEX(AbilityParams!$1:$1,0,MATCH(C59,AbilityParams!$2:$2,0))</f>
        <v>20k0</v>
      </c>
      <c r="C59" s="2" t="s">
        <v>176</v>
      </c>
      <c r="D59" t="b">
        <v>0</v>
      </c>
      <c r="E59">
        <v>1</v>
      </c>
    </row>
    <row r="60" spans="1:5">
      <c r="A60" t="s">
        <v>1793</v>
      </c>
      <c r="B60" s="221" t="str" cm="1">
        <f t="array" ref="B60">INDEX(AbilityParams!$1:$1,0,MATCH(C60,AbilityParams!$2:$2,0))</f>
        <v>20l0</v>
      </c>
      <c r="C60" s="2" t="s">
        <v>602</v>
      </c>
      <c r="D60" t="b">
        <v>0</v>
      </c>
      <c r="E60">
        <v>1</v>
      </c>
    </row>
    <row r="61" spans="1:5">
      <c r="A61" t="s">
        <v>1793</v>
      </c>
      <c r="B61" s="221" t="str" cm="1">
        <f t="array" ref="B61">INDEX(AbilityParams!$1:$1,0,MATCH(C61,AbilityParams!$2:$2,0))</f>
        <v>20m0</v>
      </c>
      <c r="C61" s="2" t="s">
        <v>605</v>
      </c>
      <c r="D61" t="b">
        <v>0</v>
      </c>
      <c r="E61">
        <v>1</v>
      </c>
    </row>
    <row r="62" spans="1:5">
      <c r="A62" t="s">
        <v>1793</v>
      </c>
      <c r="B62" s="221" t="str" cm="1">
        <f t="array" ref="B62">INDEX(AbilityParams!$1:$1,0,MATCH(C62,AbilityParams!$2:$2,0))</f>
        <v>20n0</v>
      </c>
      <c r="C62" s="2" t="s">
        <v>707</v>
      </c>
      <c r="D62" t="b">
        <v>0</v>
      </c>
      <c r="E62">
        <v>1</v>
      </c>
    </row>
    <row r="63" spans="1:5">
      <c r="A63" t="s">
        <v>1795</v>
      </c>
      <c r="B63" s="221" t="str" cm="1">
        <f t="array" ref="B63">INDEX(AbilityParams!$1:$1,0,MATCH(C63,AbilityParams!$2:$2,0))</f>
        <v>3000</v>
      </c>
      <c r="C63" t="s">
        <v>187</v>
      </c>
      <c r="D63" t="b">
        <v>0</v>
      </c>
      <c r="E63">
        <v>1</v>
      </c>
    </row>
    <row r="64" spans="1:5">
      <c r="A64" t="s">
        <v>1795</v>
      </c>
      <c r="B64" s="221" t="str" cm="1">
        <f t="array" ref="B64">INDEX(AbilityParams!$1:$1,0,MATCH(C64,AbilityParams!$2:$2,0))</f>
        <v>3010</v>
      </c>
      <c r="C64" t="s">
        <v>739</v>
      </c>
      <c r="D64" t="b">
        <v>0</v>
      </c>
      <c r="E64">
        <v>1</v>
      </c>
    </row>
    <row r="65" spans="1:5">
      <c r="A65" t="s">
        <v>1795</v>
      </c>
      <c r="B65" s="221" t="str" cm="1">
        <f t="array" ref="B65">INDEX(AbilityParams!$1:$1,0,MATCH(C65,AbilityParams!$2:$2,0))</f>
        <v>3020</v>
      </c>
      <c r="C65" t="s">
        <v>740</v>
      </c>
      <c r="D65" t="b">
        <v>0</v>
      </c>
      <c r="E65">
        <v>1</v>
      </c>
    </row>
    <row r="66" spans="1:5">
      <c r="A66" t="s">
        <v>1795</v>
      </c>
      <c r="B66" s="221" t="str" cm="1">
        <f t="array" ref="B66">INDEX(AbilityParams!$1:$1,0,MATCH(C66,AbilityParams!$2:$2,0))</f>
        <v>3030</v>
      </c>
      <c r="C66" t="s">
        <v>741</v>
      </c>
      <c r="D66" t="b">
        <v>0</v>
      </c>
      <c r="E66">
        <v>1</v>
      </c>
    </row>
    <row r="67" spans="1:5">
      <c r="A67" t="s">
        <v>1795</v>
      </c>
      <c r="B67" s="221" t="str" cm="1">
        <f t="array" ref="B67">INDEX(AbilityParams!$1:$1,0,MATCH(C67,AbilityParams!$2:$2,0))</f>
        <v>3040</v>
      </c>
      <c r="C67" t="s">
        <v>742</v>
      </c>
      <c r="D67" t="b">
        <v>0</v>
      </c>
      <c r="E67">
        <v>1</v>
      </c>
    </row>
    <row r="68" spans="1:5">
      <c r="A68" t="s">
        <v>1795</v>
      </c>
      <c r="B68" s="221" t="str" cm="1">
        <f t="array" ref="B68">INDEX(AbilityParams!$1:$1,0,MATCH(C68,AbilityParams!$2:$2,0))</f>
        <v>3050</v>
      </c>
      <c r="C68" t="s">
        <v>743</v>
      </c>
      <c r="D68" t="b">
        <v>1</v>
      </c>
      <c r="E68">
        <v>1</v>
      </c>
    </row>
    <row r="69" spans="1:5">
      <c r="A69" t="s">
        <v>1795</v>
      </c>
      <c r="B69" s="221" t="str" cm="1">
        <f t="array" ref="B69">INDEX(AbilityParams!$1:$1,0,MATCH(C69,AbilityParams!$2:$2,0))</f>
        <v>3060</v>
      </c>
      <c r="C69" t="s">
        <v>744</v>
      </c>
      <c r="D69" t="b">
        <v>0</v>
      </c>
      <c r="E69">
        <v>1</v>
      </c>
    </row>
    <row r="70" spans="1:5">
      <c r="A70" t="s">
        <v>1795</v>
      </c>
      <c r="B70" s="221" t="str" cm="1">
        <f t="array" ref="B70">INDEX(AbilityParams!$1:$1,0,MATCH(C70,AbilityParams!$2:$2,0))</f>
        <v>3070</v>
      </c>
      <c r="C70" t="s">
        <v>745</v>
      </c>
      <c r="D70" t="b">
        <v>0</v>
      </c>
      <c r="E70">
        <v>1</v>
      </c>
    </row>
    <row r="71" spans="1:5">
      <c r="A71" t="s">
        <v>1795</v>
      </c>
      <c r="B71" s="221" t="str" cm="1">
        <f t="array" ref="B71">INDEX(AbilityParams!$1:$1,0,MATCH(C71,AbilityParams!$2:$2,0))</f>
        <v>3080</v>
      </c>
      <c r="C71" t="s">
        <v>859</v>
      </c>
      <c r="D71" t="b">
        <v>0</v>
      </c>
      <c r="E71">
        <v>1</v>
      </c>
    </row>
    <row r="72" spans="1:5">
      <c r="A72" t="s">
        <v>1796</v>
      </c>
      <c r="B72" s="221" t="str" cm="1">
        <f t="array" ref="B72">INDEX(AbilityParams!$1:$1,0,MATCH(C72,AbilityParams!$2:$2,0))</f>
        <v>4000</v>
      </c>
      <c r="C72" t="s">
        <v>210</v>
      </c>
      <c r="D72" t="b">
        <v>1</v>
      </c>
      <c r="E72">
        <v>1</v>
      </c>
    </row>
    <row r="73" spans="1:5">
      <c r="A73" t="s">
        <v>1796</v>
      </c>
      <c r="B73" s="221" t="str" cm="1">
        <f t="array" ref="B73">INDEX(AbilityParams!$1:$1,0,MATCH(C73,AbilityParams!$2:$2,0))</f>
        <v>4010</v>
      </c>
      <c r="C73" t="s">
        <v>746</v>
      </c>
      <c r="D73" t="b">
        <v>1</v>
      </c>
      <c r="E73">
        <v>1</v>
      </c>
    </row>
    <row r="74" spans="1:5">
      <c r="A74" t="s">
        <v>1797</v>
      </c>
      <c r="B74" s="221" t="str" cm="1">
        <f t="array" ref="B74">INDEX(AbilityParams!$1:$1,0,MATCH(C74,AbilityParams!$2:$2,0))</f>
        <v>5000</v>
      </c>
      <c r="C74" t="s">
        <v>216</v>
      </c>
      <c r="D74" t="b">
        <v>1</v>
      </c>
      <c r="E74">
        <v>1</v>
      </c>
    </row>
    <row r="75" spans="1:5">
      <c r="A75" t="s">
        <v>1797</v>
      </c>
      <c r="B75" s="221" t="str" cm="1">
        <f t="array" ref="B75">INDEX(AbilityParams!$1:$1,0,MATCH(C75,AbilityParams!$2:$2,0))</f>
        <v>5010</v>
      </c>
      <c r="C75" t="s">
        <v>747</v>
      </c>
      <c r="D75" t="b">
        <v>1</v>
      </c>
      <c r="E75">
        <v>1</v>
      </c>
    </row>
  </sheetData>
  <phoneticPr fontId="3" type="noConversion"/>
  <conditionalFormatting sqref="C2:C1048576">
    <cfRule type="expression" dxfId="6" priority="70">
      <formula>MID(B2,1,1)="1"</formula>
    </cfRule>
    <cfRule type="expression" dxfId="5" priority="71">
      <formula>MID(B2,1,1)="2"</formula>
    </cfRule>
    <cfRule type="expression" dxfId="4" priority="72">
      <formula>MID(B2,1,1)="3"</formula>
    </cfRule>
    <cfRule type="expression" dxfId="3" priority="73">
      <formula>MID(B2,1,1)="4"</formula>
    </cfRule>
    <cfRule type="expression" dxfId="2" priority="74">
      <formula>MID(B2,1,1)="5"</formula>
    </cfRule>
  </conditionalFormatting>
  <conditionalFormatting sqref="D1:D1048576">
    <cfRule type="cellIs" dxfId="1" priority="1" operator="equal">
      <formula>FALSE</formula>
    </cfRule>
    <cfRule type="cellIs" dxfId="0" priority="2" operator="equal">
      <formula>TRUE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DEB0C-7825-417D-A64F-8D3BA14ACEA0}">
  <sheetPr codeName="Sheet2"/>
  <dimension ref="A1:D79"/>
  <sheetViews>
    <sheetView topLeftCell="A53" workbookViewId="0">
      <pane xSplit="2" topLeftCell="C1" activePane="topRight" state="frozen"/>
      <selection pane="topRight" activeCell="C59" sqref="C59"/>
    </sheetView>
  </sheetViews>
  <sheetFormatPr defaultRowHeight="16.5"/>
  <cols>
    <col min="1" max="1" width="12" style="198" customWidth="1"/>
    <col min="2" max="2" width="17.375" style="253" customWidth="1"/>
    <col min="3" max="3" width="160" style="207" customWidth="1"/>
    <col min="4" max="4" width="107.625" style="330" customWidth="1"/>
    <col min="5" max="16384" width="9" style="115"/>
  </cols>
  <sheetData>
    <row r="1" spans="1:4" s="113" customFormat="1" ht="49.5">
      <c r="A1" s="251" cm="1">
        <f t="array" ref="A1">INDEX(AbilityParams!$1:$1,0,MATCH(B1,AbilityParams!$2:$2,0))</f>
        <v>1000</v>
      </c>
      <c r="B1" s="252" t="s">
        <v>45</v>
      </c>
      <c r="C1" s="199" t="s">
        <v>1655</v>
      </c>
      <c r="D1" s="330"/>
    </row>
    <row r="2" spans="1:4" s="113" customFormat="1" ht="49.5">
      <c r="A2" s="251" cm="1">
        <f t="array" ref="A2">INDEX(AbilityParams!$1:$1,0,MATCH(B2,AbilityParams!$2:$2,0))</f>
        <v>1010</v>
      </c>
      <c r="B2" s="252" t="s">
        <v>46</v>
      </c>
      <c r="C2" s="199" t="s">
        <v>1637</v>
      </c>
      <c r="D2" s="330"/>
    </row>
    <row r="3" spans="1:4" s="113" customFormat="1" ht="49.5">
      <c r="A3" s="251" cm="1">
        <f t="array" ref="A3">INDEX(AbilityParams!$1:$1,0,MATCH(B3,AbilityParams!$2:$2,0))</f>
        <v>1020</v>
      </c>
      <c r="B3" s="252" t="s">
        <v>47</v>
      </c>
      <c r="C3" s="199" t="s">
        <v>1656</v>
      </c>
      <c r="D3" s="330"/>
    </row>
    <row r="4" spans="1:4" s="113" customFormat="1" ht="49.5">
      <c r="A4" s="251" cm="1">
        <f t="array" ref="A4">INDEX(AbilityParams!$1:$1,0,MATCH(B4,AbilityParams!$2:$2,0))</f>
        <v>1030</v>
      </c>
      <c r="B4" s="252" t="s">
        <v>48</v>
      </c>
      <c r="C4" s="199" t="s">
        <v>1638</v>
      </c>
      <c r="D4" s="330"/>
    </row>
    <row r="5" spans="1:4" s="113" customFormat="1" ht="82.5">
      <c r="A5" s="251" cm="1">
        <f t="array" ref="A5">INDEX(AbilityParams!$1:$1,0,MATCH(B5,AbilityParams!$2:$2,0))</f>
        <v>1040</v>
      </c>
      <c r="B5" s="252" t="s">
        <v>49</v>
      </c>
      <c r="C5" s="199" t="s">
        <v>1657</v>
      </c>
      <c r="D5" s="330"/>
    </row>
    <row r="6" spans="1:4" s="113" customFormat="1" ht="49.5">
      <c r="A6" s="251" cm="1">
        <f t="array" ref="A6">INDEX(AbilityParams!$1:$1,0,MATCH(B6,AbilityParams!$2:$2,0))</f>
        <v>1050</v>
      </c>
      <c r="B6" s="252" t="s">
        <v>50</v>
      </c>
      <c r="C6" s="199" t="s">
        <v>1697</v>
      </c>
      <c r="D6" s="330"/>
    </row>
    <row r="7" spans="1:4" s="113" customFormat="1" ht="49.5">
      <c r="A7" s="251" cm="1">
        <f t="array" ref="A7">INDEX(AbilityParams!$1:$1,0,MATCH(B7,AbilityParams!$2:$2,0))</f>
        <v>1060</v>
      </c>
      <c r="B7" s="252" t="s">
        <v>51</v>
      </c>
      <c r="C7" s="199" t="s">
        <v>1658</v>
      </c>
      <c r="D7" s="330"/>
    </row>
    <row r="8" spans="1:4" s="113" customFormat="1" ht="66">
      <c r="A8" s="251" cm="1">
        <f t="array" ref="A8">INDEX(AbilityParams!$1:$1,0,MATCH(B8,AbilityParams!$2:$2,0))</f>
        <v>1070</v>
      </c>
      <c r="B8" s="252" t="s">
        <v>52</v>
      </c>
      <c r="C8" s="199" t="s">
        <v>1659</v>
      </c>
      <c r="D8" s="330"/>
    </row>
    <row r="9" spans="1:4" s="113" customFormat="1" ht="66">
      <c r="A9" s="251" cm="1">
        <f t="array" ref="A9">INDEX(AbilityParams!$1:$1,0,MATCH(B9,AbilityParams!$2:$2,0))</f>
        <v>1080</v>
      </c>
      <c r="B9" s="252" t="s">
        <v>57</v>
      </c>
      <c r="C9" s="199" t="s">
        <v>1660</v>
      </c>
      <c r="D9" s="330"/>
    </row>
    <row r="10" spans="1:4" s="113" customFormat="1" ht="49.5">
      <c r="A10" s="251" cm="1">
        <f t="array" ref="A10">INDEX(AbilityParams!$1:$1,0,MATCH(B10,AbilityParams!$2:$2,0))</f>
        <v>1090</v>
      </c>
      <c r="B10" s="252" t="s">
        <v>732</v>
      </c>
      <c r="C10" s="199" t="s">
        <v>1639</v>
      </c>
      <c r="D10" s="330"/>
    </row>
    <row r="11" spans="1:4" s="113" customFormat="1" ht="49.5">
      <c r="A11" s="251" t="str" cm="1">
        <f t="array" ref="A11">INDEX(AbilityParams!$1:$1,0,MATCH(B11,AbilityParams!$2:$2,0))</f>
        <v>10a0</v>
      </c>
      <c r="B11" s="252" t="s">
        <v>731</v>
      </c>
      <c r="C11" s="199" t="s">
        <v>1640</v>
      </c>
      <c r="D11" s="330"/>
    </row>
    <row r="12" spans="1:4" s="113" customFormat="1" ht="49.5">
      <c r="A12" s="251" t="str" cm="1">
        <f t="array" ref="A12">INDEX(AbilityParams!$1:$1,0,MATCH(B12,AbilityParams!$2:$2,0))</f>
        <v>10b0</v>
      </c>
      <c r="B12" s="252" t="s">
        <v>72</v>
      </c>
      <c r="C12" s="199" t="s">
        <v>1641</v>
      </c>
      <c r="D12" s="330"/>
    </row>
    <row r="13" spans="1:4" s="113" customFormat="1" ht="49.5">
      <c r="A13" s="251" t="str" cm="1">
        <f t="array" ref="A13">INDEX(AbilityParams!$1:$1,0,MATCH(B13,AbilityParams!$2:$2,0))</f>
        <v>10c0</v>
      </c>
      <c r="B13" s="252" t="s">
        <v>74</v>
      </c>
      <c r="C13" s="199" t="s">
        <v>1642</v>
      </c>
      <c r="D13" s="330"/>
    </row>
    <row r="14" spans="1:4" s="113" customFormat="1" ht="148.5">
      <c r="A14" s="251" t="str" cm="1">
        <f t="array" ref="A14">INDEX(AbilityParams!$1:$1,0,MATCH(B14,AbilityParams!$2:$2,0))</f>
        <v>10d0</v>
      </c>
      <c r="B14" s="252" t="s">
        <v>81</v>
      </c>
      <c r="C14" s="199" t="s">
        <v>1706</v>
      </c>
      <c r="D14" s="330"/>
    </row>
    <row r="15" spans="1:4" s="113" customFormat="1" ht="49.5">
      <c r="A15" s="251" t="str" cm="1">
        <f t="array" ref="A15">INDEX(AbilityParams!$1:$1,0,MATCH(B15,AbilityParams!$2:$2,0))</f>
        <v>10e0</v>
      </c>
      <c r="B15" s="252" t="s">
        <v>93</v>
      </c>
      <c r="C15" s="199" t="s">
        <v>1643</v>
      </c>
      <c r="D15" s="330"/>
    </row>
    <row r="16" spans="1:4" s="113" customFormat="1" ht="132">
      <c r="A16" s="251" t="str" cm="1">
        <f t="array" ref="A16">INDEX(AbilityParams!$1:$1,0,MATCH(B16,AbilityParams!$2:$2,0))</f>
        <v>10f0</v>
      </c>
      <c r="B16" s="252" t="s">
        <v>95</v>
      </c>
      <c r="C16" s="199" t="s">
        <v>1699</v>
      </c>
      <c r="D16" s="330"/>
    </row>
    <row r="17" spans="1:4" s="113" customFormat="1" ht="115.5">
      <c r="A17" s="251" t="str" cm="1">
        <f t="array" ref="A17">INDEX(AbilityParams!$1:$1,0,MATCH(B17,AbilityParams!$2:$2,0))</f>
        <v>10g0</v>
      </c>
      <c r="B17" s="252" t="s">
        <v>99</v>
      </c>
      <c r="C17" s="199" t="s">
        <v>1661</v>
      </c>
      <c r="D17" s="330"/>
    </row>
    <row r="18" spans="1:4" s="113" customFormat="1" ht="49.5">
      <c r="A18" s="251" t="str" cm="1">
        <f t="array" ref="A18">INDEX(AbilityParams!$1:$1,0,MATCH(B18,AbilityParams!$2:$2,0))</f>
        <v>10h0</v>
      </c>
      <c r="B18" s="252" t="s">
        <v>476</v>
      </c>
      <c r="C18" s="199" t="s">
        <v>1662</v>
      </c>
      <c r="D18" s="330"/>
    </row>
    <row r="19" spans="1:4" s="113" customFormat="1" ht="49.5">
      <c r="A19" s="251" t="str" cm="1">
        <f t="array" ref="A19">INDEX(AbilityParams!$1:$1,0,MATCH(B19,AbilityParams!$2:$2,0))</f>
        <v>10i0</v>
      </c>
      <c r="B19" s="252" t="s">
        <v>107</v>
      </c>
      <c r="C19" s="199" t="s">
        <v>1663</v>
      </c>
      <c r="D19" s="330"/>
    </row>
    <row r="20" spans="1:4" s="113" customFormat="1" ht="66">
      <c r="A20" s="251" t="str" cm="1">
        <f t="array" ref="A20">INDEX(AbilityParams!$1:$1,0,MATCH(B20,AbilityParams!$2:$2,0))</f>
        <v>10j0</v>
      </c>
      <c r="B20" s="252" t="s">
        <v>112</v>
      </c>
      <c r="C20" s="199" t="s">
        <v>1664</v>
      </c>
      <c r="D20" s="331" t="s">
        <v>1707</v>
      </c>
    </row>
    <row r="21" spans="1:4" s="113" customFormat="1" ht="49.5">
      <c r="A21" s="251" t="str" cm="1">
        <f t="array" ref="A21">INDEX(AbilityParams!$1:$1,0,MATCH(B21,AbilityParams!$2:$2,0))</f>
        <v>10k0</v>
      </c>
      <c r="B21" s="252" t="s">
        <v>114</v>
      </c>
      <c r="C21" s="199" t="s">
        <v>1644</v>
      </c>
      <c r="D21" s="330"/>
    </row>
    <row r="22" spans="1:4" s="113" customFormat="1" ht="66">
      <c r="A22" s="251" t="str" cm="1">
        <f t="array" ref="A22">INDEX(AbilityParams!$1:$1,0,MATCH(B22,AbilityParams!$2:$2,0))</f>
        <v>10l0</v>
      </c>
      <c r="B22" s="252" t="s">
        <v>116</v>
      </c>
      <c r="C22" s="199" t="s">
        <v>1665</v>
      </c>
      <c r="D22" s="331" t="s">
        <v>1707</v>
      </c>
    </row>
    <row r="23" spans="1:4" s="113" customFormat="1" ht="82.5">
      <c r="A23" s="251" t="str" cm="1">
        <f t="array" ref="A23">INDEX(AbilityParams!$1:$1,0,MATCH(B23,AbilityParams!$2:$2,0))</f>
        <v>10m0</v>
      </c>
      <c r="B23" s="252" t="s">
        <v>466</v>
      </c>
      <c r="C23" s="199" t="s">
        <v>1666</v>
      </c>
      <c r="D23" s="330"/>
    </row>
    <row r="24" spans="1:4" s="113" customFormat="1" ht="49.5">
      <c r="A24" s="251" t="str" cm="1">
        <f t="array" ref="A24">INDEX(AbilityParams!$1:$1,0,MATCH(B24,AbilityParams!$2:$2,0))</f>
        <v>10n0</v>
      </c>
      <c r="B24" s="252" t="s">
        <v>120</v>
      </c>
      <c r="C24" s="199" t="s">
        <v>1645</v>
      </c>
      <c r="D24" s="330"/>
    </row>
    <row r="25" spans="1:4" s="113" customFormat="1" ht="66">
      <c r="A25" s="251" t="str" cm="1">
        <f t="array" ref="A25">INDEX(AbilityParams!$1:$1,0,MATCH(B25,AbilityParams!$2:$2,0))</f>
        <v>10o0</v>
      </c>
      <c r="B25" s="252" t="s">
        <v>715</v>
      </c>
      <c r="C25" s="199" t="s">
        <v>1667</v>
      </c>
      <c r="D25" s="330"/>
    </row>
    <row r="26" spans="1:4" s="113" customFormat="1" ht="49.5">
      <c r="A26" s="251" t="str" cm="1">
        <f t="array" ref="A26">INDEX(AbilityParams!$1:$1,0,MATCH(B26,AbilityParams!$2:$2,0))</f>
        <v>10p0</v>
      </c>
      <c r="B26" s="252" t="s">
        <v>157</v>
      </c>
      <c r="C26" s="199" t="s">
        <v>1646</v>
      </c>
      <c r="D26" s="330"/>
    </row>
    <row r="27" spans="1:4" s="113" customFormat="1" ht="49.5">
      <c r="A27" s="251" t="str" cm="1">
        <f t="array" ref="A27">INDEX(AbilityParams!$1:$1,0,MATCH(B27,AbilityParams!$2:$2,0))</f>
        <v>10q0</v>
      </c>
      <c r="B27" s="252" t="s">
        <v>738</v>
      </c>
      <c r="C27" s="199" t="s">
        <v>1647</v>
      </c>
      <c r="D27" s="330"/>
    </row>
    <row r="28" spans="1:4" s="113" customFormat="1" ht="49.5">
      <c r="A28" s="251" t="str" cm="1">
        <f t="array" ref="A28">INDEX(AbilityParams!$1:$1,0,MATCH(B28,AbilityParams!$2:$2,0))</f>
        <v>10r0</v>
      </c>
      <c r="B28" s="252" t="s">
        <v>133</v>
      </c>
      <c r="C28" s="199" t="s">
        <v>1700</v>
      </c>
      <c r="D28" s="330"/>
    </row>
    <row r="29" spans="1:4" s="113" customFormat="1" ht="49.5">
      <c r="A29" s="251" t="str" cm="1">
        <f t="array" ref="A29">INDEX(AbilityParams!$1:$1,0,MATCH(B29,AbilityParams!$2:$2,0))</f>
        <v>10s0</v>
      </c>
      <c r="B29" s="252" t="s">
        <v>134</v>
      </c>
      <c r="C29" s="199" t="s">
        <v>1701</v>
      </c>
      <c r="D29" s="330"/>
    </row>
    <row r="30" spans="1:4" s="113" customFormat="1" ht="33">
      <c r="A30" s="251" t="str" cm="1">
        <f t="array" ref="A30">INDEX(AbilityParams!$1:$1,0,MATCH(B30,AbilityParams!$2:$2,0))</f>
        <v>10t0</v>
      </c>
      <c r="B30" s="252" t="s">
        <v>735</v>
      </c>
      <c r="C30" s="199" t="s">
        <v>1702</v>
      </c>
      <c r="D30" s="330"/>
    </row>
    <row r="31" spans="1:4" s="113" customFormat="1" ht="49.5">
      <c r="A31" s="251" t="str" cm="1">
        <f t="array" ref="A31">INDEX(AbilityParams!$1:$1,0,MATCH(B31,AbilityParams!$2:$2,0))</f>
        <v>10u0</v>
      </c>
      <c r="B31" s="252" t="s">
        <v>122</v>
      </c>
      <c r="C31" s="199" t="s">
        <v>1648</v>
      </c>
      <c r="D31" s="330"/>
    </row>
    <row r="32" spans="1:4" s="113" customFormat="1" ht="115.5">
      <c r="A32" s="251" t="str" cm="1">
        <f t="array" ref="A32">INDEX(AbilityParams!$1:$1,0,MATCH(B32,AbilityParams!$2:$2,0))</f>
        <v>10v0</v>
      </c>
      <c r="B32" s="252" t="s">
        <v>124</v>
      </c>
      <c r="C32" s="199" t="s">
        <v>1668</v>
      </c>
      <c r="D32" s="330"/>
    </row>
    <row r="33" spans="1:4" s="113" customFormat="1" ht="49.5">
      <c r="A33" s="251" t="str" cm="1">
        <f t="array" ref="A33">INDEX(AbilityParams!$1:$1,0,MATCH(B33,AbilityParams!$2:$2,0))</f>
        <v>10w0</v>
      </c>
      <c r="B33" s="252" t="s">
        <v>127</v>
      </c>
      <c r="C33" s="199" t="s">
        <v>1649</v>
      </c>
      <c r="D33" s="330"/>
    </row>
    <row r="34" spans="1:4" s="113" customFormat="1" ht="66">
      <c r="A34" s="251" t="str" cm="1">
        <f t="array" ref="A34">INDEX(AbilityParams!$1:$1,0,MATCH(B34,AbilityParams!$2:$2,0))</f>
        <v>10x0</v>
      </c>
      <c r="B34" s="252" t="s">
        <v>129</v>
      </c>
      <c r="C34" s="199" t="s">
        <v>1669</v>
      </c>
      <c r="D34" s="330"/>
    </row>
    <row r="35" spans="1:4" s="113" customFormat="1" ht="115.5">
      <c r="A35" s="251" t="str" cm="1">
        <f t="array" ref="A35">INDEX(AbilityParams!$1:$1,0,MATCH(B35,AbilityParams!$2:$2,0))</f>
        <v>10y0</v>
      </c>
      <c r="B35" s="252" t="s">
        <v>131</v>
      </c>
      <c r="C35" s="199" t="s">
        <v>1670</v>
      </c>
      <c r="D35" s="330"/>
    </row>
    <row r="36" spans="1:4" s="113" customFormat="1" ht="49.5">
      <c r="A36" s="251" t="str" cm="1">
        <f t="array" ref="A36">INDEX(AbilityParams!$1:$1,0,MATCH(B36,AbilityParams!$2:$2,0))</f>
        <v>10z0</v>
      </c>
      <c r="B36" s="252" t="s">
        <v>847</v>
      </c>
      <c r="C36" s="199" t="s">
        <v>1703</v>
      </c>
      <c r="D36" s="330"/>
    </row>
    <row r="37" spans="1:4" s="113" customFormat="1" ht="49.5">
      <c r="A37" s="251" t="str" cm="1">
        <f t="array" ref="A37">INDEX(AbilityParams!$1:$1,0,MATCH(B37,AbilityParams!$2:$2,0))</f>
        <v>10A0</v>
      </c>
      <c r="B37" s="252" t="s">
        <v>851</v>
      </c>
      <c r="C37" s="199" t="s">
        <v>1704</v>
      </c>
      <c r="D37" s="330"/>
    </row>
    <row r="38" spans="1:4" s="113" customFormat="1" ht="66">
      <c r="A38" s="251" t="str" cm="1">
        <f t="array" ref="A38">INDEX(AbilityParams!$1:$1,0,MATCH(B38,AbilityParams!$2:$2,0))</f>
        <v>10B0</v>
      </c>
      <c r="B38" s="252" t="s">
        <v>876</v>
      </c>
      <c r="C38" s="199" t="s">
        <v>1705</v>
      </c>
      <c r="D38" s="330"/>
    </row>
    <row r="39" spans="1:4" s="113" customFormat="1" ht="82.5">
      <c r="A39" s="251" t="str" cm="1">
        <f t="array" ref="A39">INDEX(AbilityParams!$1:$1,0,MATCH(B39,AbilityParams!$2:$2,0))</f>
        <v>10C0</v>
      </c>
      <c r="B39" s="252" t="s">
        <v>882</v>
      </c>
      <c r="C39" s="199" t="s">
        <v>1671</v>
      </c>
      <c r="D39" s="330"/>
    </row>
    <row r="40" spans="1:4" s="114" customFormat="1" ht="115.5">
      <c r="A40" s="251" cm="1">
        <f t="array" ref="A40">INDEX(AbilityParams!$1:$1,0,MATCH(B40,AbilityParams!$2:$2,0))</f>
        <v>2000</v>
      </c>
      <c r="B40" s="252" t="s">
        <v>137</v>
      </c>
      <c r="C40" s="200" t="s">
        <v>1672</v>
      </c>
      <c r="D40" s="330"/>
    </row>
    <row r="41" spans="1:4" s="114" customFormat="1" ht="49.5">
      <c r="A41" s="251" cm="1">
        <f t="array" ref="A41">INDEX(AbilityParams!$1:$1,0,MATCH(B41,AbilityParams!$2:$2,0))</f>
        <v>2030</v>
      </c>
      <c r="B41" s="252" t="s">
        <v>138</v>
      </c>
      <c r="C41" s="200" t="s">
        <v>1673</v>
      </c>
      <c r="D41" s="330"/>
    </row>
    <row r="42" spans="1:4" s="114" customFormat="1" ht="181.5">
      <c r="A42" s="251" cm="1">
        <f t="array" ref="A42">INDEX(AbilityParams!$1:$1,0,MATCH(B42,AbilityParams!$2:$2,0))</f>
        <v>2040</v>
      </c>
      <c r="B42" s="252" t="s">
        <v>140</v>
      </c>
      <c r="C42" s="200" t="s">
        <v>1674</v>
      </c>
      <c r="D42" s="330"/>
    </row>
    <row r="43" spans="1:4" s="114" customFormat="1" ht="49.5">
      <c r="A43" s="251" cm="1">
        <f t="array" ref="A43">INDEX(AbilityParams!$1:$1,0,MATCH(B43,AbilityParams!$2:$2,0))</f>
        <v>2050</v>
      </c>
      <c r="B43" s="252" t="s">
        <v>144</v>
      </c>
      <c r="C43" s="200" t="s">
        <v>1650</v>
      </c>
      <c r="D43" s="330"/>
    </row>
    <row r="44" spans="1:4" s="114" customFormat="1" ht="66">
      <c r="A44" s="251" cm="1">
        <f t="array" ref="A44">INDEX(AbilityParams!$1:$1,0,MATCH(B44,AbilityParams!$2:$2,0))</f>
        <v>2060</v>
      </c>
      <c r="B44" s="252" t="s">
        <v>152</v>
      </c>
      <c r="C44" s="200" t="s">
        <v>1675</v>
      </c>
      <c r="D44" s="330"/>
    </row>
    <row r="45" spans="1:4" s="114" customFormat="1" ht="132">
      <c r="A45" s="251" cm="1">
        <f t="array" ref="A45">INDEX(AbilityParams!$1:$1,0,MATCH(B45,AbilityParams!$2:$2,0))</f>
        <v>2070</v>
      </c>
      <c r="B45" s="252" t="s">
        <v>154</v>
      </c>
      <c r="C45" s="200" t="s">
        <v>1676</v>
      </c>
      <c r="D45" s="330"/>
    </row>
    <row r="46" spans="1:4" s="114" customFormat="1">
      <c r="A46" s="251" cm="1">
        <f t="array" ref="A46">INDEX(AbilityParams!$1:$1,0,MATCH(B46,AbilityParams!$2:$2,0))</f>
        <v>2080</v>
      </c>
      <c r="B46" s="252" t="s">
        <v>156</v>
      </c>
      <c r="C46" s="200" t="s">
        <v>1636</v>
      </c>
      <c r="D46" s="330"/>
    </row>
    <row r="47" spans="1:4" s="114" customFormat="1" ht="49.5">
      <c r="A47" s="251" cm="1">
        <f t="array" ref="A47">INDEX(AbilityParams!$1:$1,0,MATCH(B47,AbilityParams!$2:$2,0))</f>
        <v>2090</v>
      </c>
      <c r="B47" s="252" t="s">
        <v>730</v>
      </c>
      <c r="C47" s="200" t="s">
        <v>1646</v>
      </c>
      <c r="D47" s="330"/>
    </row>
    <row r="48" spans="1:4" s="114" customFormat="1" ht="132">
      <c r="A48" s="251" t="str" cm="1">
        <f t="array" ref="A48">INDEX(AbilityParams!$1:$1,0,MATCH(B48,AbilityParams!$2:$2,0))</f>
        <v>20a0</v>
      </c>
      <c r="B48" s="252" t="s">
        <v>159</v>
      </c>
      <c r="C48" s="200" t="s">
        <v>1677</v>
      </c>
      <c r="D48" s="330"/>
    </row>
    <row r="49" spans="1:4" s="114" customFormat="1" ht="99">
      <c r="A49" s="251" t="str" cm="1">
        <f t="array" ref="A49">INDEX(AbilityParams!$1:$1,0,MATCH(B49,AbilityParams!$2:$2,0))</f>
        <v>20b0</v>
      </c>
      <c r="B49" s="252" t="s">
        <v>162</v>
      </c>
      <c r="C49" s="200" t="s">
        <v>1678</v>
      </c>
      <c r="D49" s="330"/>
    </row>
    <row r="50" spans="1:4" s="114" customFormat="1" ht="99">
      <c r="A50" s="251" t="str" cm="1">
        <f t="array" ref="A50">INDEX(AbilityParams!$1:$1,0,MATCH(B50,AbilityParams!$2:$2,0))</f>
        <v>20c0</v>
      </c>
      <c r="B50" s="252" t="s">
        <v>163</v>
      </c>
      <c r="C50" s="200" t="s">
        <v>1679</v>
      </c>
      <c r="D50" s="330"/>
    </row>
    <row r="51" spans="1:4" s="114" customFormat="1" ht="82.5">
      <c r="A51" s="251" t="str" cm="1">
        <f t="array" ref="A51">INDEX(AbilityParams!$1:$1,0,MATCH(B51,AbilityParams!$2:$2,0))</f>
        <v>20d0</v>
      </c>
      <c r="B51" s="252" t="s">
        <v>164</v>
      </c>
      <c r="C51" s="200" t="s">
        <v>1719</v>
      </c>
      <c r="D51" s="330"/>
    </row>
    <row r="52" spans="1:4" s="114" customFormat="1" ht="49.5">
      <c r="A52" s="251" t="str" cm="1">
        <f t="array" ref="A52">INDEX(AbilityParams!$1:$1,0,MATCH(B52,AbilityParams!$2:$2,0))</f>
        <v>20e0</v>
      </c>
      <c r="B52" s="252" t="s">
        <v>165</v>
      </c>
      <c r="C52" s="200" t="s">
        <v>1651</v>
      </c>
      <c r="D52" s="330"/>
    </row>
    <row r="53" spans="1:4" s="114" customFormat="1" ht="115.5">
      <c r="A53" s="251" t="str" cm="1">
        <f t="array" ref="A53">INDEX(AbilityParams!$1:$1,0,MATCH(B53,AbilityParams!$2:$2,0))</f>
        <v>20f0</v>
      </c>
      <c r="B53" s="252" t="s">
        <v>168</v>
      </c>
      <c r="C53" s="200" t="s">
        <v>1680</v>
      </c>
      <c r="D53" s="330"/>
    </row>
    <row r="54" spans="1:4" s="114" customFormat="1" ht="66">
      <c r="A54" s="251" t="str" cm="1">
        <f t="array" ref="A54">INDEX(AbilityParams!$1:$1,0,MATCH(B54,AbilityParams!$2:$2,0))</f>
        <v>20g0</v>
      </c>
      <c r="B54" s="252" t="s">
        <v>171</v>
      </c>
      <c r="C54" s="200" t="s">
        <v>1681</v>
      </c>
      <c r="D54" s="330"/>
    </row>
    <row r="55" spans="1:4" s="114" customFormat="1" ht="99">
      <c r="A55" s="251" t="str" cm="1">
        <f t="array" ref="A55">INDEX(AbilityParams!$1:$1,0,MATCH(B55,AbilityParams!$2:$2,0))</f>
        <v>20h0</v>
      </c>
      <c r="B55" s="252" t="s">
        <v>172</v>
      </c>
      <c r="C55" s="200" t="s">
        <v>1718</v>
      </c>
      <c r="D55" s="330"/>
    </row>
    <row r="56" spans="1:4" s="114" customFormat="1" ht="66">
      <c r="A56" s="251" t="str" cm="1">
        <f t="array" ref="A56">INDEX(AbilityParams!$1:$1,0,MATCH(B56,AbilityParams!$2:$2,0))</f>
        <v>20i0</v>
      </c>
      <c r="B56" s="252" t="s">
        <v>174</v>
      </c>
      <c r="C56" s="200" t="s">
        <v>1713</v>
      </c>
      <c r="D56" s="332" t="s">
        <v>1720</v>
      </c>
    </row>
    <row r="57" spans="1:4" s="114" customFormat="1" ht="99">
      <c r="A57" s="251" t="str" cm="1">
        <f t="array" ref="A57">INDEX(AbilityParams!$1:$1,0,MATCH(B57,AbilityParams!$2:$2,0))</f>
        <v>20j0</v>
      </c>
      <c r="B57" s="252" t="s">
        <v>175</v>
      </c>
      <c r="C57" s="200" t="s">
        <v>1714</v>
      </c>
      <c r="D57" s="332" t="s">
        <v>1721</v>
      </c>
    </row>
    <row r="58" spans="1:4" s="114" customFormat="1" ht="82.5">
      <c r="A58" s="251" t="str" cm="1">
        <f t="array" ref="A58">INDEX(AbilityParams!$1:$1,0,MATCH(B58,AbilityParams!$2:$2,0))</f>
        <v>20k0</v>
      </c>
      <c r="B58" s="252" t="s">
        <v>176</v>
      </c>
      <c r="C58" s="200" t="s">
        <v>1717</v>
      </c>
      <c r="D58" s="332" t="s">
        <v>1721</v>
      </c>
    </row>
    <row r="59" spans="1:4" s="114" customFormat="1" ht="99">
      <c r="A59" s="251" t="str" cm="1">
        <f t="array" ref="A59">INDEX(AbilityParams!$1:$1,0,MATCH(B59,AbilityParams!$2:$2,0))</f>
        <v>20l0</v>
      </c>
      <c r="B59" s="252" t="s">
        <v>602</v>
      </c>
      <c r="C59" s="200" t="s">
        <v>1716</v>
      </c>
      <c r="D59" s="330"/>
    </row>
    <row r="60" spans="1:4" s="185" customFormat="1" ht="49.5">
      <c r="A60" s="251" t="str" cm="1">
        <f t="array" ref="A60">INDEX(AbilityParams!$1:$1,0,MATCH(B60,AbilityParams!$2:$2,0))</f>
        <v>20m0</v>
      </c>
      <c r="B60" s="252" t="s">
        <v>605</v>
      </c>
      <c r="C60" s="201" t="s">
        <v>1652</v>
      </c>
      <c r="D60" s="333"/>
    </row>
    <row r="61" spans="1:4" s="187" customFormat="1" ht="49.5">
      <c r="A61" s="251" t="str" cm="1">
        <f t="array" ref="A61">INDEX(AbilityParams!$1:$1,0,MATCH(B61,AbilityParams!$2:$2,0))</f>
        <v>20n0</v>
      </c>
      <c r="B61" s="252" t="s">
        <v>707</v>
      </c>
      <c r="C61" s="202" t="s">
        <v>1682</v>
      </c>
      <c r="D61" s="334"/>
    </row>
    <row r="62" spans="1:4" s="186" customFormat="1" ht="99">
      <c r="A62" s="251" t="str" cm="1">
        <f t="array" ref="A62">INDEX(AbilityParams!$1:$1,0,MATCH(B62,AbilityParams!$2:$2,0))</f>
        <v>20o0</v>
      </c>
      <c r="B62" s="252" t="s">
        <v>177</v>
      </c>
      <c r="C62" s="203" t="s">
        <v>1683</v>
      </c>
      <c r="D62" s="335"/>
    </row>
    <row r="63" spans="1:4" s="114" customFormat="1" ht="115.5">
      <c r="A63" s="251" t="str" cm="1">
        <f t="array" ref="A63">INDEX(AbilityParams!$1:$1,0,MATCH(B63,AbilityParams!$2:$2,0))</f>
        <v>20p0</v>
      </c>
      <c r="B63" s="252" t="s">
        <v>178</v>
      </c>
      <c r="C63" s="200" t="s">
        <v>1684</v>
      </c>
      <c r="D63" s="330"/>
    </row>
    <row r="64" spans="1:4" s="114" customFormat="1" ht="115.5">
      <c r="A64" s="251" t="str" cm="1">
        <f t="array" ref="A64">INDEX(AbilityParams!$1:$1,0,MATCH(B64,AbilityParams!$2:$2,0))</f>
        <v>20q0</v>
      </c>
      <c r="B64" s="252" t="s">
        <v>179</v>
      </c>
      <c r="C64" s="200" t="s">
        <v>1685</v>
      </c>
      <c r="D64" s="330"/>
    </row>
    <row r="65" spans="1:4" s="114" customFormat="1" ht="115.5">
      <c r="A65" s="251" t="str" cm="1">
        <f t="array" ref="A65">INDEX(AbilityParams!$1:$1,0,MATCH(B65,AbilityParams!$2:$2,0))</f>
        <v>20r0</v>
      </c>
      <c r="B65" s="252" t="s">
        <v>183</v>
      </c>
      <c r="C65" s="200" t="s">
        <v>1686</v>
      </c>
      <c r="D65" s="330"/>
    </row>
    <row r="66" spans="1:4" s="114" customFormat="1" ht="66">
      <c r="A66" s="251" t="str" cm="1">
        <f t="array" ref="A66">INDEX(AbilityParams!$1:$1,0,MATCH(B66,AbilityParams!$2:$2,0))</f>
        <v>20s0</v>
      </c>
      <c r="B66" s="252" t="s">
        <v>186</v>
      </c>
      <c r="C66" s="200" t="s">
        <v>1687</v>
      </c>
      <c r="D66" s="330"/>
    </row>
    <row r="67" spans="1:4" ht="66">
      <c r="A67" s="251" t="str" cm="1">
        <f t="array" ref="A67">INDEX(AbilityParams!$1:$1,0,MATCH(B67,AbilityParams!$2:$2,0))</f>
        <v>3000</v>
      </c>
      <c r="B67" s="252" t="s">
        <v>187</v>
      </c>
      <c r="C67" s="204" t="s">
        <v>1688</v>
      </c>
    </row>
    <row r="68" spans="1:4" ht="132">
      <c r="A68" s="251" t="str" cm="1">
        <f t="array" ref="A68">INDEX(AbilityParams!$1:$1,0,MATCH(B68,AbilityParams!$2:$2,0))</f>
        <v>3010</v>
      </c>
      <c r="B68" s="252" t="s">
        <v>194</v>
      </c>
      <c r="C68" s="204" t="s">
        <v>1689</v>
      </c>
    </row>
    <row r="69" spans="1:4" ht="181.5">
      <c r="A69" s="251" t="str" cm="1">
        <f t="array" ref="A69">INDEX(AbilityParams!$1:$1,0,MATCH(B69,AbilityParams!$2:$2,0))</f>
        <v>3020</v>
      </c>
      <c r="B69" s="252" t="s">
        <v>196</v>
      </c>
      <c r="C69" s="204" t="s">
        <v>1690</v>
      </c>
    </row>
    <row r="70" spans="1:4" ht="99">
      <c r="A70" s="251" t="str" cm="1">
        <f t="array" ref="A70">INDEX(AbilityParams!$1:$1,0,MATCH(B70,AbilityParams!$2:$2,0))</f>
        <v>3030</v>
      </c>
      <c r="B70" s="252" t="s">
        <v>197</v>
      </c>
      <c r="C70" s="204" t="s">
        <v>1691</v>
      </c>
    </row>
    <row r="71" spans="1:4" ht="82.5">
      <c r="A71" s="251" t="str" cm="1">
        <f t="array" ref="A71">INDEX(AbilityParams!$1:$1,0,MATCH(B71,AbilityParams!$2:$2,0))</f>
        <v>3040</v>
      </c>
      <c r="B71" s="252" t="s">
        <v>201</v>
      </c>
      <c r="C71" s="204" t="s">
        <v>1692</v>
      </c>
    </row>
    <row r="72" spans="1:4" ht="132">
      <c r="A72" s="251" t="str" cm="1">
        <f t="array" ref="A72">INDEX(AbilityParams!$1:$1,0,MATCH(B72,AbilityParams!$2:$2,0))</f>
        <v>3050</v>
      </c>
      <c r="B72" s="252" t="s">
        <v>205</v>
      </c>
      <c r="C72" s="204" t="s">
        <v>1693</v>
      </c>
    </row>
    <row r="73" spans="1:4" ht="49.5">
      <c r="A73" s="251" t="str" cm="1">
        <f t="array" ref="A73">INDEX(AbilityParams!$1:$1,0,MATCH(B73,AbilityParams!$2:$2,0))</f>
        <v>3060</v>
      </c>
      <c r="B73" s="252" t="s">
        <v>206</v>
      </c>
      <c r="C73" s="204" t="s">
        <v>1653</v>
      </c>
    </row>
    <row r="74" spans="1:4" ht="66">
      <c r="A74" s="251" t="str" cm="1">
        <f t="array" ref="A74">INDEX(AbilityParams!$1:$1,0,MATCH(B74,AbilityParams!$2:$2,0))</f>
        <v>3070</v>
      </c>
      <c r="B74" s="252" t="s">
        <v>600</v>
      </c>
      <c r="C74" s="204" t="s">
        <v>1694</v>
      </c>
    </row>
    <row r="75" spans="1:4" ht="66">
      <c r="A75" s="251" t="str" cm="1">
        <f t="array" ref="A75">INDEX(AbilityParams!$1:$1,0,MATCH(B75,AbilityParams!$2:$2,0))</f>
        <v>3080</v>
      </c>
      <c r="B75" s="252" t="s">
        <v>859</v>
      </c>
      <c r="C75" s="204" t="s">
        <v>1659</v>
      </c>
    </row>
    <row r="76" spans="1:4" ht="82.5">
      <c r="A76" s="251" t="str" cm="1">
        <f t="array" ref="A76">INDEX(AbilityParams!$1:$1,0,MATCH(B76,AbilityParams!$2:$2,0))</f>
        <v>4000</v>
      </c>
      <c r="B76" s="252" t="s">
        <v>210</v>
      </c>
      <c r="C76" s="205" t="s">
        <v>1695</v>
      </c>
    </row>
    <row r="77" spans="1:4" ht="49.5">
      <c r="A77" s="251" t="str" cm="1">
        <f t="array" ref="A77">INDEX(AbilityParams!$1:$1,0,MATCH(B77,AbilityParams!$2:$2,0))</f>
        <v>4010</v>
      </c>
      <c r="B77" s="252" t="s">
        <v>212</v>
      </c>
      <c r="C77" s="205" t="s">
        <v>1654</v>
      </c>
    </row>
    <row r="78" spans="1:4" ht="99">
      <c r="A78" s="251" t="str" cm="1">
        <f t="array" ref="A78">INDEX(AbilityParams!$1:$1,0,MATCH(B78,AbilityParams!$2:$2,0))</f>
        <v>5000</v>
      </c>
      <c r="B78" s="252" t="s">
        <v>216</v>
      </c>
      <c r="C78" s="206" t="s">
        <v>1715</v>
      </c>
    </row>
    <row r="79" spans="1:4" ht="82.5">
      <c r="A79" s="251" t="str" cm="1">
        <f t="array" ref="A79">INDEX(AbilityParams!$1:$1,0,MATCH(B79,AbilityParams!$2:$2,0))</f>
        <v>5010</v>
      </c>
      <c r="B79" s="252" t="s">
        <v>219</v>
      </c>
      <c r="C79" s="206" t="s">
        <v>1696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Config</vt:lpstr>
      <vt:lpstr>Enum</vt:lpstr>
      <vt:lpstr>EnumLookup</vt:lpstr>
      <vt:lpstr>UnitParams</vt:lpstr>
      <vt:lpstr>BuffParams</vt:lpstr>
      <vt:lpstr>AbilityParams</vt:lpstr>
      <vt:lpstr>AbilityMix</vt:lpstr>
      <vt:lpstr>AbilityTable</vt:lpstr>
      <vt:lpstr>AbilityTooltips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intak jeon</dc:creator>
  <cp:keywords/>
  <dc:description/>
  <cp:lastModifiedBy>intak jeon</cp:lastModifiedBy>
  <cp:revision/>
  <dcterms:created xsi:type="dcterms:W3CDTF">2023-06-27T16:25:43Z</dcterms:created>
  <dcterms:modified xsi:type="dcterms:W3CDTF">2026-10-28T06:20:07Z</dcterms:modified>
  <cp:category/>
  <cp:contentStatus/>
</cp:coreProperties>
</file>